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videos excel\Data\"/>
    </mc:Choice>
  </mc:AlternateContent>
  <xr:revisionPtr revIDLastSave="0" documentId="13_ncr:1_{6F479425-F739-44F2-B81E-2B66E9D5BD86}" xr6:coauthVersionLast="47" xr6:coauthVersionMax="47" xr10:uidLastSave="{00000000-0000-0000-0000-000000000000}"/>
  <bookViews>
    <workbookView xWindow="-108" yWindow="-108" windowWidth="23256" windowHeight="12456" activeTab="1" xr2:uid="{E8E29B0B-61D5-4600-B51B-B6487ADDDFC9}"/>
  </bookViews>
  <sheets>
    <sheet name="inputs" sheetId="4" r:id="rId1"/>
    <sheet name="Dash board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2" l="1"/>
  <c r="F24" i="2"/>
  <c r="G24" i="2"/>
  <c r="H24" i="2"/>
  <c r="I24" i="2"/>
  <c r="J24" i="2"/>
  <c r="D24" i="2"/>
  <c r="D23" i="2"/>
  <c r="E23" i="2"/>
  <c r="F23" i="2"/>
  <c r="G23" i="2"/>
  <c r="H23" i="2"/>
  <c r="I23" i="2"/>
  <c r="J23" i="2"/>
  <c r="K23" i="2"/>
  <c r="L23" i="2"/>
  <c r="M23" i="2"/>
  <c r="N23" i="2"/>
  <c r="C23" i="2"/>
  <c r="P20" i="2"/>
  <c r="P10" i="2"/>
  <c r="P15" i="2"/>
  <c r="P16" i="2"/>
  <c r="P17" i="2"/>
  <c r="P18" i="2"/>
  <c r="P19" i="2"/>
  <c r="P14" i="2"/>
  <c r="D20" i="2"/>
  <c r="E21" i="2" s="1"/>
  <c r="E20" i="2"/>
  <c r="F21" i="2" s="1"/>
  <c r="F20" i="2"/>
  <c r="G20" i="2"/>
  <c r="H20" i="2"/>
  <c r="I20" i="2"/>
  <c r="J21" i="2" s="1"/>
  <c r="J20" i="2"/>
  <c r="K20" i="2"/>
  <c r="L21" i="2" s="1"/>
  <c r="L20" i="2"/>
  <c r="M20" i="2"/>
  <c r="N20" i="2"/>
  <c r="C20" i="2"/>
  <c r="N21" i="2"/>
  <c r="M21" i="2"/>
  <c r="I21" i="2"/>
  <c r="H21" i="2"/>
  <c r="G21" i="2"/>
  <c r="C19" i="2"/>
  <c r="C18" i="2"/>
  <c r="C17" i="2"/>
  <c r="C16" i="2"/>
  <c r="C15" i="2"/>
  <c r="C14" i="2"/>
  <c r="C10" i="2"/>
  <c r="D110" i="4"/>
  <c r="D104" i="4" a="1"/>
  <c r="D104" i="4" s="1"/>
  <c r="D15" i="2"/>
  <c r="E15" i="2"/>
  <c r="F15" i="2"/>
  <c r="G15" i="2"/>
  <c r="H15" i="2"/>
  <c r="I15" i="2"/>
  <c r="J15" i="2"/>
  <c r="K15" i="2"/>
  <c r="L15" i="2"/>
  <c r="M15" i="2"/>
  <c r="N15" i="2"/>
  <c r="D16" i="2"/>
  <c r="E16" i="2"/>
  <c r="F16" i="2"/>
  <c r="G16" i="2"/>
  <c r="H16" i="2"/>
  <c r="I16" i="2"/>
  <c r="J16" i="2"/>
  <c r="K16" i="2"/>
  <c r="L16" i="2"/>
  <c r="M16" i="2"/>
  <c r="N16" i="2"/>
  <c r="D17" i="2"/>
  <c r="E17" i="2"/>
  <c r="F17" i="2"/>
  <c r="G17" i="2"/>
  <c r="H17" i="2"/>
  <c r="I17" i="2"/>
  <c r="J17" i="2"/>
  <c r="K17" i="2"/>
  <c r="L17" i="2"/>
  <c r="M17" i="2"/>
  <c r="N17" i="2"/>
  <c r="D18" i="2"/>
  <c r="E18" i="2"/>
  <c r="F18" i="2"/>
  <c r="G18" i="2"/>
  <c r="H18" i="2"/>
  <c r="I18" i="2"/>
  <c r="J18" i="2"/>
  <c r="K18" i="2"/>
  <c r="L18" i="2"/>
  <c r="M18" i="2"/>
  <c r="N18" i="2"/>
  <c r="D19" i="2"/>
  <c r="E19" i="2"/>
  <c r="F19" i="2"/>
  <c r="G19" i="2"/>
  <c r="H19" i="2"/>
  <c r="I19" i="2"/>
  <c r="J19" i="2"/>
  <c r="K19" i="2"/>
  <c r="L19" i="2"/>
  <c r="M19" i="2"/>
  <c r="N19" i="2"/>
  <c r="D14" i="2"/>
  <c r="E14" i="2"/>
  <c r="F14" i="2"/>
  <c r="G14" i="2"/>
  <c r="H14" i="2"/>
  <c r="I14" i="2"/>
  <c r="J14" i="2"/>
  <c r="K14" i="2"/>
  <c r="L14" i="2"/>
  <c r="M14" i="2"/>
  <c r="N14" i="2"/>
  <c r="D6" i="2"/>
  <c r="I10" i="2"/>
  <c r="J11" i="2" s="1"/>
  <c r="J10" i="2"/>
  <c r="K10" i="2"/>
  <c r="L11" i="2" s="1"/>
  <c r="L10" i="2"/>
  <c r="M11" i="2" s="1"/>
  <c r="M10" i="2"/>
  <c r="N11" i="2" s="1"/>
  <c r="E6" i="2"/>
  <c r="E10" i="2" s="1"/>
  <c r="F11" i="2" s="1"/>
  <c r="F6" i="2"/>
  <c r="G6" i="2"/>
  <c r="G10" i="2" s="1"/>
  <c r="H11" i="2" s="1"/>
  <c r="H6" i="2"/>
  <c r="I6" i="2"/>
  <c r="J6" i="2"/>
  <c r="K6" i="2"/>
  <c r="L6" i="2"/>
  <c r="M6" i="2"/>
  <c r="N6" i="2"/>
  <c r="N10" i="2" s="1"/>
  <c r="D7" i="2"/>
  <c r="P7" i="2" s="1"/>
  <c r="E7" i="2"/>
  <c r="F7" i="2"/>
  <c r="G7" i="2"/>
  <c r="H7" i="2"/>
  <c r="H10" i="2" s="1"/>
  <c r="I11" i="2" s="1"/>
  <c r="I7" i="2"/>
  <c r="J7" i="2"/>
  <c r="K7" i="2"/>
  <c r="L7" i="2"/>
  <c r="M7" i="2"/>
  <c r="N7" i="2"/>
  <c r="D8" i="2"/>
  <c r="P8" i="2" s="1"/>
  <c r="E8" i="2"/>
  <c r="F8" i="2"/>
  <c r="G8" i="2"/>
  <c r="H8" i="2"/>
  <c r="I8" i="2"/>
  <c r="J8" i="2"/>
  <c r="K8" i="2"/>
  <c r="L8" i="2"/>
  <c r="M8" i="2"/>
  <c r="N8" i="2"/>
  <c r="D9" i="2"/>
  <c r="P9" i="2" s="1"/>
  <c r="E9" i="2"/>
  <c r="F9" i="2"/>
  <c r="F10" i="2" s="1"/>
  <c r="G9" i="2"/>
  <c r="H9" i="2"/>
  <c r="I9" i="2"/>
  <c r="J9" i="2"/>
  <c r="K9" i="2"/>
  <c r="L9" i="2"/>
  <c r="M9" i="2"/>
  <c r="N9" i="2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D21" i="2" l="1"/>
  <c r="G11" i="2"/>
  <c r="D10" i="2"/>
  <c r="P6" i="2"/>
  <c r="D11" i="2"/>
  <c r="E1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<sst xmlns="http://schemas.openxmlformats.org/spreadsheetml/2006/main" count="232" uniqueCount="67">
  <si>
    <t>Utilities</t>
  </si>
  <si>
    <t>Groceries</t>
  </si>
  <si>
    <t>Date</t>
  </si>
  <si>
    <t>Description</t>
  </si>
  <si>
    <t>Amount</t>
  </si>
  <si>
    <t>Rent</t>
  </si>
  <si>
    <t>Apartment split with friend</t>
  </si>
  <si>
    <t>Higher month than usual</t>
  </si>
  <si>
    <t>Transport</t>
  </si>
  <si>
    <t>Metro card</t>
  </si>
  <si>
    <t>Walmart shopping</t>
  </si>
  <si>
    <t>Leisure</t>
  </si>
  <si>
    <t>Hotel in NYC</t>
  </si>
  <si>
    <t>Dinner with friends (invited my partner)</t>
  </si>
  <si>
    <t>Drake concert</t>
  </si>
  <si>
    <t>Other</t>
  </si>
  <si>
    <t>Bought new clothes</t>
  </si>
  <si>
    <t>Bonus</t>
  </si>
  <si>
    <t>Commissions from each sale</t>
  </si>
  <si>
    <t>Base Salary</t>
  </si>
  <si>
    <t>9-5 job</t>
  </si>
  <si>
    <t>Side Hustle</t>
  </si>
  <si>
    <t>Startup idea $</t>
  </si>
  <si>
    <t>Average month</t>
  </si>
  <si>
    <t>Drinks out</t>
  </si>
  <si>
    <t>Date night</t>
  </si>
  <si>
    <t>Tennis x2</t>
  </si>
  <si>
    <t>Snacks</t>
  </si>
  <si>
    <t>Investments</t>
  </si>
  <si>
    <t>Stock Dividends</t>
  </si>
  <si>
    <t>Lunch out x4</t>
  </si>
  <si>
    <t>Dinner with friends x2</t>
  </si>
  <si>
    <t>Exercise</t>
  </si>
  <si>
    <t>Travel back home</t>
  </si>
  <si>
    <t>Disco &amp; drinks</t>
  </si>
  <si>
    <t>NBA game</t>
  </si>
  <si>
    <t>Lemonade</t>
  </si>
  <si>
    <t>Hotel in Dallas</t>
  </si>
  <si>
    <t>Music concert</t>
  </si>
  <si>
    <t>Spa</t>
  </si>
  <si>
    <t>New Shoes</t>
  </si>
  <si>
    <t>February</t>
  </si>
  <si>
    <t>March</t>
  </si>
  <si>
    <t>April</t>
  </si>
  <si>
    <t>May</t>
  </si>
  <si>
    <t>June</t>
  </si>
  <si>
    <t>July</t>
  </si>
  <si>
    <t>August</t>
  </si>
  <si>
    <t>Catogory</t>
  </si>
  <si>
    <t>Months</t>
  </si>
  <si>
    <t xml:space="preserve">Personal Financial Tracker </t>
  </si>
  <si>
    <t>figures in rs</t>
  </si>
  <si>
    <t xml:space="preserve">January </t>
  </si>
  <si>
    <t>September</t>
  </si>
  <si>
    <t>October</t>
  </si>
  <si>
    <t>November</t>
  </si>
  <si>
    <t>December</t>
  </si>
  <si>
    <t>Income:</t>
  </si>
  <si>
    <t>total income</t>
  </si>
  <si>
    <t>MoM %</t>
  </si>
  <si>
    <t>YTD total</t>
  </si>
  <si>
    <t>Expenses:</t>
  </si>
  <si>
    <t>total expenses</t>
  </si>
  <si>
    <t>MoM%</t>
  </si>
  <si>
    <t>Saving</t>
  </si>
  <si>
    <t>Expense Breakdown</t>
  </si>
  <si>
    <t>Income Breakdown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</si>
</sst>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\(#,##0\);\-\-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Arial Black"/>
      <family val="2"/>
    </font>
    <font>
      <sz val="22"/>
      <color theme="1"/>
      <name val="Aptos Display"/>
      <family val="2"/>
    </font>
    <font>
      <sz val="8"/>
      <name val="Calibri"/>
      <family val="2"/>
      <scheme val="minor"/>
    </font>
    <font>
      <i/>
      <sz val="12"/>
      <color theme="1"/>
      <name val="Calibri"/>
      <family val="2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Aptos Display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FFFF00"/>
      </bottom>
      <diagonal/>
    </border>
    <border>
      <left/>
      <right/>
      <top/>
      <bottom style="thin">
        <color rgb="FFFFFF00"/>
      </bottom>
      <diagonal/>
    </border>
    <border>
      <left/>
      <right/>
      <top style="thin">
        <color rgb="FFFFFF00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left"/>
    </xf>
    <xf numFmtId="16" fontId="0" fillId="0" borderId="0" xfId="0" applyNumberFormat="1"/>
    <xf numFmtId="0" fontId="20" fillId="33" borderId="0" xfId="0" applyFont="1" applyFill="1"/>
    <xf numFmtId="0" fontId="0" fillId="0" borderId="0" xfId="0" applyBorder="1"/>
    <xf numFmtId="0" fontId="0" fillId="0" borderId="11" xfId="0" applyBorder="1"/>
    <xf numFmtId="0" fontId="21" fillId="0" borderId="10" xfId="0" applyFont="1" applyFill="1" applyBorder="1" applyAlignment="1">
      <alignment horizontal="center"/>
    </xf>
    <xf numFmtId="0" fontId="18" fillId="34" borderId="12" xfId="0" applyFont="1" applyFill="1" applyBorder="1" applyAlignment="1">
      <alignment horizontal="left"/>
    </xf>
    <xf numFmtId="0" fontId="0" fillId="34" borderId="12" xfId="0" applyFill="1" applyBorder="1"/>
    <xf numFmtId="0" fontId="0" fillId="34" borderId="11" xfId="0" applyFill="1" applyBorder="1"/>
    <xf numFmtId="0" fontId="23" fillId="34" borderId="11" xfId="0" applyFont="1" applyFill="1" applyBorder="1" applyAlignment="1">
      <alignment horizontal="left"/>
    </xf>
    <xf numFmtId="164" fontId="0" fillId="0" borderId="0" xfId="0" applyNumberFormat="1"/>
    <xf numFmtId="0" fontId="24" fillId="35" borderId="0" xfId="0" applyFont="1" applyFill="1"/>
    <xf numFmtId="0" fontId="24" fillId="0" borderId="0" xfId="0" applyFont="1"/>
    <xf numFmtId="164" fontId="0" fillId="34" borderId="12" xfId="0" applyNumberFormat="1" applyFill="1" applyBorder="1"/>
    <xf numFmtId="10" fontId="0" fillId="34" borderId="11" xfId="0" applyNumberFormat="1" applyFill="1" applyBorder="1"/>
    <xf numFmtId="0" fontId="25" fillId="34" borderId="11" xfId="0" applyFont="1" applyFill="1" applyBorder="1"/>
    <xf numFmtId="164" fontId="18" fillId="0" borderId="0" xfId="0" applyNumberFormat="1" applyFont="1"/>
    <xf numFmtId="0" fontId="0" fillId="36" borderId="0" xfId="0" applyFill="1"/>
    <xf numFmtId="164" fontId="0" fillId="36" borderId="0" xfId="0" applyNumberFormat="1" applyFill="1"/>
    <xf numFmtId="10" fontId="0" fillId="36" borderId="0" xfId="0" applyNumberFormat="1" applyFill="1"/>
    <xf numFmtId="0" fontId="26" fillId="37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theme="9" tint="0.39994506668294322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029943132108488"/>
          <c:y val="0.10217701953922428"/>
          <c:w val="0.40829002624671917"/>
          <c:h val="0.6804833770778652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0C2-4244-8909-244E2A7717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C2-4244-8909-244E2A7717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1.2127405949256343E-2"/>
                  <c:y val="-5.387685914260717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C2-4244-8909-244E2A771789}"/>
                </c:ext>
              </c:extLst>
            </c:dLbl>
            <c:dLbl>
              <c:idx val="1"/>
              <c:layout>
                <c:manualLayout>
                  <c:x val="-4.2782152230971126E-4"/>
                  <c:y val="3.103820355788859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C2-4244-8909-244E2A7717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 board'!$B$6:$B$9</c:f>
              <c:strCache>
                <c:ptCount val="4"/>
                <c:pt idx="0">
                  <c:v>Base Salary</c:v>
                </c:pt>
                <c:pt idx="1">
                  <c:v>Bonus</c:v>
                </c:pt>
                <c:pt idx="2">
                  <c:v>Side Hustle</c:v>
                </c:pt>
                <c:pt idx="3">
                  <c:v>Investments</c:v>
                </c:pt>
              </c:strCache>
            </c:strRef>
          </c:cat>
          <c:val>
            <c:numRef>
              <c:f>'Dash board'!$P$6:$P$9</c:f>
              <c:numCache>
                <c:formatCode>#,##0_);\(#,##0\);\-\-_)</c:formatCode>
                <c:ptCount val="4"/>
                <c:pt idx="0">
                  <c:v>28000</c:v>
                </c:pt>
                <c:pt idx="1">
                  <c:v>12330</c:v>
                </c:pt>
                <c:pt idx="2">
                  <c:v>2393</c:v>
                </c:pt>
                <c:pt idx="3">
                  <c:v>1668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2-4244-8909-244E2A77178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02B-4CB6-B332-6F17946440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2B-4CB6-B332-6F17946440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2B-4CB6-B332-6F17946440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02B-4CB6-B332-6F17946440D3}"/>
              </c:ext>
            </c:extLst>
          </c:dPt>
          <c:dLbls>
            <c:dLbl>
              <c:idx val="0"/>
              <c:layout>
                <c:manualLayout>
                  <c:x val="1.2556430446194328E-2"/>
                  <c:y val="1.211614173228346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2B-4CB6-B332-6F17946440D3}"/>
                </c:ext>
              </c:extLst>
            </c:dLbl>
            <c:dLbl>
              <c:idx val="3"/>
              <c:layout>
                <c:manualLayout>
                  <c:x val="-1.728871391076113E-2"/>
                  <c:y val="-6.601450860309128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2B-4CB6-B332-6F17946440D3}"/>
                </c:ext>
              </c:extLst>
            </c:dLbl>
            <c:dLbl>
              <c:idx val="4"/>
              <c:layout>
                <c:manualLayout>
                  <c:x val="3.3508311461067368E-3"/>
                  <c:y val="5.805883639545057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2B-4CB6-B332-6F17946440D3}"/>
                </c:ext>
              </c:extLst>
            </c:dLbl>
            <c:dLbl>
              <c:idx val="5"/>
              <c:layout>
                <c:manualLayout>
                  <c:x val="3.2362642169728735E-2"/>
                  <c:y val="1.160505978419364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2B-4CB6-B332-6F17946440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 board'!$B$14:$B$19</c:f>
              <c:strCache>
                <c:ptCount val="6"/>
                <c:pt idx="0">
                  <c:v>Rent</c:v>
                </c:pt>
                <c:pt idx="1">
                  <c:v>Utilities</c:v>
                </c:pt>
                <c:pt idx="2">
                  <c:v>Transport</c:v>
                </c:pt>
                <c:pt idx="3">
                  <c:v>Groceries</c:v>
                </c:pt>
                <c:pt idx="4">
                  <c:v>Leisure</c:v>
                </c:pt>
                <c:pt idx="5">
                  <c:v>Other</c:v>
                </c:pt>
              </c:strCache>
            </c:strRef>
          </c:cat>
          <c:val>
            <c:numRef>
              <c:f>'Dash board'!$P$14:$P$19</c:f>
              <c:numCache>
                <c:formatCode>#,##0_);\(#,##0\);\-\-_)</c:formatCode>
                <c:ptCount val="6"/>
                <c:pt idx="0">
                  <c:v>10000</c:v>
                </c:pt>
                <c:pt idx="1">
                  <c:v>1019</c:v>
                </c:pt>
                <c:pt idx="2">
                  <c:v>409</c:v>
                </c:pt>
                <c:pt idx="3">
                  <c:v>2836</c:v>
                </c:pt>
                <c:pt idx="4">
                  <c:v>3339</c:v>
                </c:pt>
                <c:pt idx="5">
                  <c:v>1512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B-4CB6-B332-6F17946440D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1203960</xdr:colOff>
      <xdr:row>29</xdr:row>
      <xdr:rowOff>87630</xdr:rowOff>
    </xdr:from>
    <xdr:to>
      <xdr:col>4</xdr:col>
      <xdr:colOff>289560</xdr:colOff>
      <xdr:row>44</xdr:row>
      <xdr:rowOff>87630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F8CB52-8876-6390-1B8F-98C55D5324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29</xdr:row>
      <xdr:rowOff>80010</xdr:rowOff>
    </xdr:from>
    <xdr:to>
      <xdr:col>14</xdr:col>
      <xdr:colOff>38100</xdr:colOff>
      <xdr:row>44</xdr:row>
      <xdr:rowOff>80010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EF6846B-6872-A904-44DA-4BB6AD68B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ideos%20excel\Data\START-Personal-Budgeting-File_v2.xlsx" TargetMode="External"/><Relationship Id="rId1" Type="http://schemas.openxmlformats.org/officeDocument/2006/relationships/externalLinkPath" Target="START-Personal-Budgeting-File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Dashboard"/>
      <sheetName val="Inputs"/>
    </sheetNames>
    <sheetDataSet>
      <sheetData sheetId="0"/>
      <sheetData sheetId="1">
        <row r="4">
          <cell r="C4" t="str">
            <v>January</v>
          </cell>
        </row>
        <row r="14">
          <cell r="B14" t="str">
            <v>Rent</v>
          </cell>
        </row>
        <row r="15">
          <cell r="B15" t="str">
            <v>Utilities</v>
          </cell>
        </row>
        <row r="16">
          <cell r="B16" t="str">
            <v>Transport</v>
          </cell>
        </row>
        <row r="17">
          <cell r="B17" t="str">
            <v>Groceries</v>
          </cell>
        </row>
        <row r="18">
          <cell r="B18" t="str">
            <v>Leisure</v>
          </cell>
        </row>
        <row r="19">
          <cell r="B19" t="str">
            <v>Other</v>
          </cell>
        </row>
      </sheetData>
      <sheetData sheetId="2">
        <row r="4">
          <cell r="C4" t="str">
            <v>Month</v>
          </cell>
          <cell r="D4" t="str">
            <v>Category</v>
          </cell>
          <cell r="F4" t="str">
            <v>Amount</v>
          </cell>
        </row>
        <row r="5">
          <cell r="C5" t="str">
            <v>January</v>
          </cell>
          <cell r="D5" t="str">
            <v>Rent</v>
          </cell>
          <cell r="F5">
            <v>1250</v>
          </cell>
        </row>
        <row r="6">
          <cell r="C6" t="str">
            <v>January</v>
          </cell>
          <cell r="D6" t="str">
            <v>Utilities</v>
          </cell>
          <cell r="F6">
            <v>140</v>
          </cell>
        </row>
        <row r="7">
          <cell r="C7" t="str">
            <v>January</v>
          </cell>
          <cell r="D7" t="str">
            <v>Transport</v>
          </cell>
          <cell r="F7">
            <v>52</v>
          </cell>
        </row>
        <row r="8">
          <cell r="C8" t="str">
            <v>January</v>
          </cell>
          <cell r="D8" t="str">
            <v>Groceries</v>
          </cell>
          <cell r="F8">
            <v>449</v>
          </cell>
        </row>
        <row r="9">
          <cell r="C9" t="str">
            <v>January</v>
          </cell>
          <cell r="D9" t="str">
            <v>Leisure</v>
          </cell>
          <cell r="F9">
            <v>245</v>
          </cell>
        </row>
        <row r="10">
          <cell r="C10" t="str">
            <v>January</v>
          </cell>
          <cell r="D10" t="str">
            <v>Leisure</v>
          </cell>
          <cell r="F10">
            <v>168</v>
          </cell>
        </row>
        <row r="11">
          <cell r="C11" t="str">
            <v>January</v>
          </cell>
          <cell r="D11" t="str">
            <v>Leisure</v>
          </cell>
          <cell r="F11">
            <v>149</v>
          </cell>
        </row>
        <row r="12">
          <cell r="C12" t="str">
            <v>January</v>
          </cell>
          <cell r="D12" t="str">
            <v>Other</v>
          </cell>
          <cell r="F12">
            <v>249</v>
          </cell>
        </row>
        <row r="13">
          <cell r="C13" t="str">
            <v>January</v>
          </cell>
          <cell r="D13" t="str">
            <v>Bonus</v>
          </cell>
          <cell r="F13">
            <v>850</v>
          </cell>
        </row>
        <row r="14">
          <cell r="C14" t="str">
            <v>January</v>
          </cell>
          <cell r="D14" t="str">
            <v>Base Salary</v>
          </cell>
          <cell r="F14">
            <v>3500</v>
          </cell>
        </row>
        <row r="15">
          <cell r="C15" t="str">
            <v>January</v>
          </cell>
          <cell r="D15" t="str">
            <v>Side Hustle</v>
          </cell>
          <cell r="F15">
            <v>199</v>
          </cell>
        </row>
        <row r="16">
          <cell r="C16" t="str">
            <v>February</v>
          </cell>
          <cell r="D16" t="str">
            <v>Rent</v>
          </cell>
          <cell r="F16">
            <v>1250</v>
          </cell>
        </row>
        <row r="17">
          <cell r="C17" t="str">
            <v>February</v>
          </cell>
          <cell r="D17" t="str">
            <v>Utilities</v>
          </cell>
          <cell r="F17">
            <v>105</v>
          </cell>
        </row>
        <row r="18">
          <cell r="C18" t="str">
            <v>February</v>
          </cell>
          <cell r="D18" t="str">
            <v>Transport</v>
          </cell>
          <cell r="F18">
            <v>52</v>
          </cell>
        </row>
        <row r="19">
          <cell r="C19" t="str">
            <v>February</v>
          </cell>
          <cell r="D19" t="str">
            <v>Groceries</v>
          </cell>
          <cell r="F19">
            <v>305</v>
          </cell>
        </row>
        <row r="20">
          <cell r="C20" t="str">
            <v>February</v>
          </cell>
          <cell r="D20" t="str">
            <v>Leisure</v>
          </cell>
          <cell r="F20">
            <v>28</v>
          </cell>
        </row>
        <row r="21">
          <cell r="C21" t="str">
            <v>February</v>
          </cell>
          <cell r="D21" t="str">
            <v>Leisure</v>
          </cell>
          <cell r="F21">
            <v>99</v>
          </cell>
        </row>
        <row r="22">
          <cell r="C22" t="str">
            <v>February</v>
          </cell>
          <cell r="D22" t="str">
            <v>Leisure</v>
          </cell>
          <cell r="F22">
            <v>67</v>
          </cell>
        </row>
        <row r="23">
          <cell r="C23" t="str">
            <v>February</v>
          </cell>
          <cell r="D23" t="str">
            <v>Other</v>
          </cell>
          <cell r="F23">
            <v>18</v>
          </cell>
        </row>
        <row r="24">
          <cell r="C24" t="str">
            <v>February</v>
          </cell>
          <cell r="D24" t="str">
            <v>Bonus</v>
          </cell>
          <cell r="F24">
            <v>1025</v>
          </cell>
        </row>
        <row r="25">
          <cell r="C25" t="str">
            <v>February</v>
          </cell>
          <cell r="D25" t="str">
            <v>Base Salary</v>
          </cell>
          <cell r="F25">
            <v>3500</v>
          </cell>
        </row>
        <row r="26">
          <cell r="C26" t="str">
            <v>February</v>
          </cell>
          <cell r="D26" t="str">
            <v>Side Hustle</v>
          </cell>
          <cell r="F26">
            <v>228</v>
          </cell>
        </row>
        <row r="27">
          <cell r="C27" t="str">
            <v>February</v>
          </cell>
          <cell r="D27" t="str">
            <v>Investments</v>
          </cell>
          <cell r="F27">
            <v>195</v>
          </cell>
        </row>
        <row r="28">
          <cell r="C28" t="str">
            <v>March</v>
          </cell>
          <cell r="D28" t="str">
            <v>Rent</v>
          </cell>
          <cell r="F28">
            <v>1250</v>
          </cell>
        </row>
        <row r="29">
          <cell r="C29" t="str">
            <v>March</v>
          </cell>
          <cell r="D29" t="str">
            <v>Utilities</v>
          </cell>
          <cell r="F29">
            <v>110</v>
          </cell>
        </row>
        <row r="30">
          <cell r="C30" t="str">
            <v>March</v>
          </cell>
          <cell r="D30" t="str">
            <v>Transport</v>
          </cell>
          <cell r="F30">
            <v>52</v>
          </cell>
        </row>
        <row r="31">
          <cell r="C31" t="str">
            <v>March</v>
          </cell>
          <cell r="D31" t="str">
            <v>Groceries</v>
          </cell>
          <cell r="F31">
            <v>208</v>
          </cell>
        </row>
        <row r="32">
          <cell r="C32" t="str">
            <v>March</v>
          </cell>
          <cell r="D32" t="str">
            <v>Leisure</v>
          </cell>
          <cell r="F32">
            <v>188</v>
          </cell>
        </row>
        <row r="33">
          <cell r="C33" t="str">
            <v>March</v>
          </cell>
          <cell r="D33" t="str">
            <v>Leisure</v>
          </cell>
          <cell r="F33">
            <v>168</v>
          </cell>
        </row>
        <row r="34">
          <cell r="C34" t="str">
            <v>March</v>
          </cell>
          <cell r="D34" t="str">
            <v>Leisure</v>
          </cell>
          <cell r="F34">
            <v>49</v>
          </cell>
        </row>
        <row r="35">
          <cell r="C35" t="str">
            <v>March</v>
          </cell>
          <cell r="D35" t="str">
            <v>Other</v>
          </cell>
          <cell r="F35">
            <v>199</v>
          </cell>
        </row>
        <row r="36">
          <cell r="C36" t="str">
            <v>March</v>
          </cell>
          <cell r="D36" t="str">
            <v>Bonus</v>
          </cell>
          <cell r="F36">
            <v>999</v>
          </cell>
        </row>
        <row r="37">
          <cell r="C37" t="str">
            <v>March</v>
          </cell>
          <cell r="D37" t="str">
            <v>Base Salary</v>
          </cell>
          <cell r="F37">
            <v>3500</v>
          </cell>
        </row>
        <row r="38">
          <cell r="C38" t="str">
            <v>March</v>
          </cell>
          <cell r="D38" t="str">
            <v>Investments</v>
          </cell>
          <cell r="F38">
            <v>299</v>
          </cell>
        </row>
        <row r="39">
          <cell r="C39" t="str">
            <v>March</v>
          </cell>
          <cell r="D39" t="str">
            <v>Side Hustle</v>
          </cell>
          <cell r="F39">
            <v>59</v>
          </cell>
        </row>
        <row r="40">
          <cell r="C40" t="str">
            <v>April</v>
          </cell>
          <cell r="D40" t="str">
            <v>Rent</v>
          </cell>
          <cell r="F40">
            <v>1250</v>
          </cell>
        </row>
        <row r="41">
          <cell r="C41" t="str">
            <v>April</v>
          </cell>
          <cell r="D41" t="str">
            <v>Utilities</v>
          </cell>
          <cell r="F41">
            <v>140</v>
          </cell>
        </row>
        <row r="42">
          <cell r="C42" t="str">
            <v>April</v>
          </cell>
          <cell r="D42" t="str">
            <v>Transport</v>
          </cell>
          <cell r="F42">
            <v>52</v>
          </cell>
        </row>
        <row r="43">
          <cell r="C43" t="str">
            <v>April</v>
          </cell>
          <cell r="D43" t="str">
            <v>Groceries</v>
          </cell>
          <cell r="F43">
            <v>449</v>
          </cell>
        </row>
        <row r="44">
          <cell r="C44" t="str">
            <v>April</v>
          </cell>
          <cell r="D44" t="str">
            <v>Investments</v>
          </cell>
          <cell r="F44">
            <v>359</v>
          </cell>
        </row>
        <row r="45">
          <cell r="C45" t="str">
            <v>April</v>
          </cell>
          <cell r="D45" t="str">
            <v>Leisure</v>
          </cell>
          <cell r="F45">
            <v>245</v>
          </cell>
        </row>
        <row r="46">
          <cell r="C46" t="str">
            <v>April</v>
          </cell>
          <cell r="D46" t="str">
            <v>Leisure</v>
          </cell>
          <cell r="F46">
            <v>168</v>
          </cell>
        </row>
        <row r="47">
          <cell r="C47" t="str">
            <v>April</v>
          </cell>
          <cell r="D47" t="str">
            <v>Leisure</v>
          </cell>
          <cell r="F47">
            <v>49</v>
          </cell>
        </row>
        <row r="48">
          <cell r="C48" t="str">
            <v>April</v>
          </cell>
          <cell r="D48" t="str">
            <v>Other</v>
          </cell>
          <cell r="F48">
            <v>249</v>
          </cell>
        </row>
        <row r="49">
          <cell r="C49" t="str">
            <v>April</v>
          </cell>
          <cell r="D49" t="str">
            <v>Bonus</v>
          </cell>
          <cell r="F49">
            <v>1243</v>
          </cell>
        </row>
        <row r="50">
          <cell r="C50" t="str">
            <v>April</v>
          </cell>
          <cell r="D50" t="str">
            <v>Base Salary</v>
          </cell>
          <cell r="F50">
            <v>3500</v>
          </cell>
        </row>
        <row r="51">
          <cell r="C51" t="str">
            <v>April</v>
          </cell>
          <cell r="D51" t="str">
            <v>Side Hustle</v>
          </cell>
          <cell r="F51">
            <v>258</v>
          </cell>
        </row>
        <row r="52">
          <cell r="C52" t="str">
            <v>May</v>
          </cell>
          <cell r="D52" t="str">
            <v>Rent</v>
          </cell>
          <cell r="F52">
            <v>1250</v>
          </cell>
        </row>
        <row r="53">
          <cell r="C53" t="str">
            <v>May</v>
          </cell>
          <cell r="D53" t="str">
            <v>Utilities</v>
          </cell>
          <cell r="F53">
            <v>152</v>
          </cell>
        </row>
        <row r="54">
          <cell r="C54" t="str">
            <v>May</v>
          </cell>
          <cell r="D54" t="str">
            <v>Transport</v>
          </cell>
          <cell r="F54">
            <v>52</v>
          </cell>
        </row>
        <row r="55">
          <cell r="C55" t="str">
            <v>May</v>
          </cell>
          <cell r="D55" t="str">
            <v>Groceries</v>
          </cell>
          <cell r="F55">
            <v>449</v>
          </cell>
        </row>
        <row r="56">
          <cell r="C56" t="str">
            <v>May</v>
          </cell>
          <cell r="D56" t="str">
            <v>Leisure</v>
          </cell>
          <cell r="F56">
            <v>245</v>
          </cell>
        </row>
        <row r="57">
          <cell r="C57" t="str">
            <v>May</v>
          </cell>
          <cell r="D57" t="str">
            <v>Leisure</v>
          </cell>
          <cell r="F57">
            <v>168</v>
          </cell>
        </row>
        <row r="58">
          <cell r="C58" t="str">
            <v>May</v>
          </cell>
          <cell r="D58" t="str">
            <v>Leisure</v>
          </cell>
          <cell r="F58">
            <v>233</v>
          </cell>
        </row>
        <row r="59">
          <cell r="C59" t="str">
            <v>May</v>
          </cell>
          <cell r="D59" t="str">
            <v>Other</v>
          </cell>
          <cell r="F59">
            <v>249</v>
          </cell>
        </row>
        <row r="60">
          <cell r="C60" t="str">
            <v>May</v>
          </cell>
          <cell r="D60" t="str">
            <v>Bonus</v>
          </cell>
          <cell r="F60">
            <v>1450</v>
          </cell>
        </row>
        <row r="61">
          <cell r="C61" t="str">
            <v>May</v>
          </cell>
          <cell r="D61" t="str">
            <v>Base Salary</v>
          </cell>
          <cell r="F61">
            <v>3500</v>
          </cell>
        </row>
        <row r="62">
          <cell r="C62" t="str">
            <v>May</v>
          </cell>
          <cell r="D62" t="str">
            <v>Side Hustle</v>
          </cell>
          <cell r="F62">
            <v>366</v>
          </cell>
        </row>
        <row r="63">
          <cell r="C63" t="str">
            <v>May</v>
          </cell>
          <cell r="D63" t="str">
            <v>Side Hustle</v>
          </cell>
          <cell r="F63">
            <v>1000</v>
          </cell>
        </row>
        <row r="64">
          <cell r="C64" t="str">
            <v>June</v>
          </cell>
          <cell r="D64" t="str">
            <v>Rent</v>
          </cell>
          <cell r="F64">
            <v>1250</v>
          </cell>
        </row>
        <row r="65">
          <cell r="C65" t="str">
            <v>June</v>
          </cell>
          <cell r="D65" t="str">
            <v>Utilities</v>
          </cell>
          <cell r="F65">
            <v>152</v>
          </cell>
        </row>
        <row r="66">
          <cell r="C66" t="str">
            <v>June</v>
          </cell>
          <cell r="D66" t="str">
            <v>Transport</v>
          </cell>
          <cell r="F66">
            <v>52</v>
          </cell>
        </row>
        <row r="67">
          <cell r="C67" t="str">
            <v>June</v>
          </cell>
          <cell r="D67" t="str">
            <v>Groceries</v>
          </cell>
          <cell r="F67">
            <v>560</v>
          </cell>
        </row>
        <row r="68">
          <cell r="C68" t="str">
            <v>June</v>
          </cell>
          <cell r="D68" t="str">
            <v>Leisure</v>
          </cell>
          <cell r="F68">
            <v>280</v>
          </cell>
        </row>
        <row r="69">
          <cell r="C69" t="str">
            <v>June</v>
          </cell>
          <cell r="D69" t="str">
            <v>Leisure</v>
          </cell>
          <cell r="F69">
            <v>250</v>
          </cell>
        </row>
        <row r="70">
          <cell r="C70" t="str">
            <v>June</v>
          </cell>
          <cell r="D70" t="str">
            <v>Leisure</v>
          </cell>
          <cell r="F70">
            <v>99</v>
          </cell>
        </row>
        <row r="71">
          <cell r="C71" t="str">
            <v>June</v>
          </cell>
          <cell r="D71" t="str">
            <v>Bonus</v>
          </cell>
          <cell r="F71">
            <v>2232</v>
          </cell>
        </row>
        <row r="72">
          <cell r="C72" t="str">
            <v>June</v>
          </cell>
          <cell r="D72" t="str">
            <v>Base Salary</v>
          </cell>
          <cell r="F72">
            <v>3500</v>
          </cell>
        </row>
        <row r="73">
          <cell r="C73" t="str">
            <v>June</v>
          </cell>
          <cell r="D73" t="str">
            <v>Side Hustle</v>
          </cell>
          <cell r="F73">
            <v>199</v>
          </cell>
        </row>
        <row r="74">
          <cell r="C74" t="str">
            <v>June</v>
          </cell>
          <cell r="D74" t="str">
            <v>Investments</v>
          </cell>
          <cell r="F74">
            <v>250</v>
          </cell>
        </row>
        <row r="75">
          <cell r="C75" t="str">
            <v>July</v>
          </cell>
          <cell r="D75" t="str">
            <v>Utilities</v>
          </cell>
          <cell r="F75">
            <v>110</v>
          </cell>
        </row>
        <row r="76">
          <cell r="C76" t="str">
            <v>July</v>
          </cell>
          <cell r="D76" t="str">
            <v>Transport</v>
          </cell>
          <cell r="F76">
            <v>45</v>
          </cell>
        </row>
        <row r="77">
          <cell r="C77" t="str">
            <v>July</v>
          </cell>
          <cell r="D77" t="str">
            <v>Rent</v>
          </cell>
          <cell r="F77">
            <v>1250</v>
          </cell>
        </row>
        <row r="78">
          <cell r="C78" t="str">
            <v>July</v>
          </cell>
          <cell r="D78" t="str">
            <v>Groceries</v>
          </cell>
          <cell r="F78">
            <v>208</v>
          </cell>
        </row>
        <row r="79">
          <cell r="C79" t="str">
            <v>July</v>
          </cell>
          <cell r="D79" t="str">
            <v>Leisure</v>
          </cell>
          <cell r="F79">
            <v>245</v>
          </cell>
        </row>
        <row r="80">
          <cell r="C80" t="str">
            <v>July</v>
          </cell>
          <cell r="D80" t="str">
            <v>Leisure</v>
          </cell>
          <cell r="F80">
            <v>49</v>
          </cell>
        </row>
        <row r="81">
          <cell r="C81" t="str">
            <v>July</v>
          </cell>
          <cell r="D81" t="str">
            <v>Other</v>
          </cell>
          <cell r="F81">
            <v>399</v>
          </cell>
        </row>
        <row r="82">
          <cell r="C82" t="str">
            <v>July</v>
          </cell>
          <cell r="D82" t="str">
            <v>Bonus</v>
          </cell>
          <cell r="F82">
            <v>2231</v>
          </cell>
        </row>
        <row r="83">
          <cell r="C83" t="str">
            <v>July</v>
          </cell>
          <cell r="D83" t="str">
            <v>Base Salary</v>
          </cell>
          <cell r="F83">
            <v>3500</v>
          </cell>
        </row>
        <row r="84">
          <cell r="C84" t="str">
            <v>July</v>
          </cell>
          <cell r="D84" t="str">
            <v>Investments</v>
          </cell>
          <cell r="F84">
            <v>215</v>
          </cell>
        </row>
        <row r="85">
          <cell r="C85" t="str">
            <v>July</v>
          </cell>
          <cell r="D85" t="str">
            <v>Side Hustle</v>
          </cell>
          <cell r="F85">
            <v>59</v>
          </cell>
        </row>
        <row r="86">
          <cell r="C86" t="str">
            <v>August</v>
          </cell>
          <cell r="D86" t="str">
            <v>Utilities</v>
          </cell>
          <cell r="F86">
            <v>110</v>
          </cell>
        </row>
        <row r="87">
          <cell r="C87" t="str">
            <v>August</v>
          </cell>
          <cell r="D87" t="str">
            <v>Rent</v>
          </cell>
          <cell r="F87">
            <v>1250</v>
          </cell>
        </row>
        <row r="88">
          <cell r="C88" t="str">
            <v>August</v>
          </cell>
          <cell r="D88" t="str">
            <v>Transport</v>
          </cell>
          <cell r="F88">
            <v>52</v>
          </cell>
        </row>
        <row r="89">
          <cell r="C89" t="str">
            <v>August</v>
          </cell>
          <cell r="D89" t="str">
            <v>Groceries</v>
          </cell>
          <cell r="F89">
            <v>208</v>
          </cell>
        </row>
        <row r="90">
          <cell r="C90" t="str">
            <v>August</v>
          </cell>
          <cell r="D90" t="str">
            <v>Leisure</v>
          </cell>
          <cell r="F90">
            <v>147</v>
          </cell>
        </row>
        <row r="91">
          <cell r="C91" t="str">
            <v>August</v>
          </cell>
          <cell r="D91" t="str">
            <v>Other</v>
          </cell>
          <cell r="F91">
            <v>149</v>
          </cell>
        </row>
        <row r="92">
          <cell r="C92" t="str">
            <v>August</v>
          </cell>
          <cell r="D92" t="str">
            <v>Bonus</v>
          </cell>
          <cell r="F92">
            <v>2300</v>
          </cell>
        </row>
        <row r="93">
          <cell r="C93" t="str">
            <v>August</v>
          </cell>
          <cell r="D93" t="str">
            <v>Base Salary</v>
          </cell>
          <cell r="F93">
            <v>3500</v>
          </cell>
        </row>
        <row r="94">
          <cell r="C94" t="str">
            <v>August</v>
          </cell>
          <cell r="D94" t="str">
            <v>Investments</v>
          </cell>
          <cell r="F94">
            <v>350</v>
          </cell>
        </row>
        <row r="95">
          <cell r="C95" t="str">
            <v>August</v>
          </cell>
          <cell r="D95" t="str">
            <v>Side Hustle</v>
          </cell>
          <cell r="F95">
            <v>25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E467-A0D2-4AA1-B501-A39EF1601361}">
  <dimension ref="B4:I110"/>
  <sheetViews>
    <sheetView showGridLines="0" workbookViewId="0">
      <selection activeCell="K19" sqref="K19"/>
    </sheetView>
  </sheetViews>
  <sheetFormatPr defaultRowHeight="14.4" x14ac:dyDescent="0.3"/>
  <cols>
    <col min="3" max="3" width="12.33203125" bestFit="1" customWidth="1"/>
    <col min="4" max="5" width="38.88671875" bestFit="1" customWidth="1"/>
    <col min="9" max="9" width="12.33203125" bestFit="1" customWidth="1"/>
  </cols>
  <sheetData>
    <row r="4" spans="2:9" ht="17.399999999999999" x14ac:dyDescent="0.45">
      <c r="B4" s="4" t="s">
        <v>2</v>
      </c>
      <c r="C4" s="4" t="s">
        <v>49</v>
      </c>
      <c r="D4" s="4" t="s">
        <v>48</v>
      </c>
      <c r="E4" s="4" t="s">
        <v>3</v>
      </c>
      <c r="F4" s="4" t="s">
        <v>4</v>
      </c>
    </row>
    <row r="5" spans="2:9" ht="15.6" x14ac:dyDescent="0.3">
      <c r="B5" s="3">
        <v>44562</v>
      </c>
      <c r="C5" t="str">
        <f>TEXT(B5,"MMMM")</f>
        <v>January</v>
      </c>
      <c r="D5" s="1" t="s">
        <v>5</v>
      </c>
      <c r="E5" s="1" t="s">
        <v>6</v>
      </c>
      <c r="F5" s="12">
        <v>12500</v>
      </c>
    </row>
    <row r="6" spans="2:9" ht="15.6" x14ac:dyDescent="0.3">
      <c r="B6" s="3">
        <v>44562</v>
      </c>
      <c r="C6" t="str">
        <f t="shared" ref="C5:D69" si="0">TEXT(B6,"MMMM")</f>
        <v>January</v>
      </c>
      <c r="D6" s="1" t="s">
        <v>0</v>
      </c>
      <c r="E6" s="1" t="s">
        <v>7</v>
      </c>
      <c r="F6" s="12">
        <v>1400</v>
      </c>
    </row>
    <row r="7" spans="2:9" ht="15.6" x14ac:dyDescent="0.3">
      <c r="B7" s="3">
        <v>44562</v>
      </c>
      <c r="C7" t="str">
        <f t="shared" si="0"/>
        <v>January</v>
      </c>
      <c r="D7" s="1" t="s">
        <v>8</v>
      </c>
      <c r="E7" s="1" t="s">
        <v>9</v>
      </c>
      <c r="F7" s="12">
        <v>520</v>
      </c>
    </row>
    <row r="8" spans="2:9" ht="15.6" x14ac:dyDescent="0.3">
      <c r="B8" s="3">
        <v>44569</v>
      </c>
      <c r="C8" t="str">
        <f t="shared" si="0"/>
        <v>January</v>
      </c>
      <c r="D8" s="1" t="s">
        <v>1</v>
      </c>
      <c r="E8" s="1" t="s">
        <v>10</v>
      </c>
      <c r="F8" s="12">
        <v>449</v>
      </c>
    </row>
    <row r="9" spans="2:9" ht="15.6" x14ac:dyDescent="0.3">
      <c r="B9" s="3">
        <v>44572</v>
      </c>
      <c r="C9" t="str">
        <f t="shared" si="0"/>
        <v>January</v>
      </c>
      <c r="D9" s="1" t="s">
        <v>11</v>
      </c>
      <c r="E9" s="1" t="s">
        <v>12</v>
      </c>
      <c r="F9" s="12">
        <v>245</v>
      </c>
    </row>
    <row r="10" spans="2:9" ht="17.399999999999999" x14ac:dyDescent="0.45">
      <c r="B10" s="3">
        <v>44573</v>
      </c>
      <c r="C10" t="str">
        <f t="shared" si="0"/>
        <v>January</v>
      </c>
      <c r="D10" s="1" t="s">
        <v>11</v>
      </c>
      <c r="E10" s="1" t="s">
        <v>13</v>
      </c>
      <c r="F10" s="12">
        <v>168</v>
      </c>
      <c r="I10" s="4" t="s">
        <v>48</v>
      </c>
    </row>
    <row r="11" spans="2:9" ht="15.6" x14ac:dyDescent="0.3">
      <c r="B11" s="3">
        <v>44573</v>
      </c>
      <c r="C11" t="str">
        <f t="shared" si="0"/>
        <v>January</v>
      </c>
      <c r="D11" s="1" t="s">
        <v>11</v>
      </c>
      <c r="E11" s="1" t="s">
        <v>14</v>
      </c>
      <c r="F11" s="12">
        <v>149</v>
      </c>
      <c r="I11" s="2" t="s">
        <v>19</v>
      </c>
    </row>
    <row r="12" spans="2:9" ht="15.6" x14ac:dyDescent="0.3">
      <c r="B12" s="3">
        <v>44575</v>
      </c>
      <c r="C12" t="str">
        <f t="shared" si="0"/>
        <v>January</v>
      </c>
      <c r="D12" s="1" t="s">
        <v>15</v>
      </c>
      <c r="E12" s="1" t="s">
        <v>16</v>
      </c>
      <c r="F12" s="12">
        <v>249</v>
      </c>
      <c r="I12" s="2" t="s">
        <v>17</v>
      </c>
    </row>
    <row r="13" spans="2:9" ht="15.6" x14ac:dyDescent="0.3">
      <c r="B13" s="3">
        <v>44592</v>
      </c>
      <c r="C13" t="str">
        <f t="shared" si="0"/>
        <v>January</v>
      </c>
      <c r="D13" s="1" t="s">
        <v>17</v>
      </c>
      <c r="E13" s="1" t="s">
        <v>18</v>
      </c>
      <c r="F13" s="12">
        <v>850</v>
      </c>
      <c r="I13" s="2" t="s">
        <v>21</v>
      </c>
    </row>
    <row r="14" spans="2:9" ht="15.6" x14ac:dyDescent="0.3">
      <c r="B14" s="3">
        <v>44592</v>
      </c>
      <c r="C14" t="str">
        <f t="shared" si="0"/>
        <v>January</v>
      </c>
      <c r="D14" s="1" t="s">
        <v>19</v>
      </c>
      <c r="E14" s="1" t="s">
        <v>20</v>
      </c>
      <c r="F14" s="12">
        <v>3500</v>
      </c>
      <c r="I14" s="2" t="s">
        <v>28</v>
      </c>
    </row>
    <row r="15" spans="2:9" ht="15.6" x14ac:dyDescent="0.3">
      <c r="B15" s="3">
        <v>44592</v>
      </c>
      <c r="C15" t="str">
        <f t="shared" si="0"/>
        <v>January</v>
      </c>
      <c r="D15" s="1" t="s">
        <v>21</v>
      </c>
      <c r="E15" s="1" t="s">
        <v>22</v>
      </c>
      <c r="F15" s="12">
        <v>199</v>
      </c>
      <c r="I15" s="2" t="s">
        <v>5</v>
      </c>
    </row>
    <row r="16" spans="2:9" ht="15.6" x14ac:dyDescent="0.3">
      <c r="B16" s="3">
        <v>44593</v>
      </c>
      <c r="C16" t="str">
        <f t="shared" si="0"/>
        <v>February</v>
      </c>
      <c r="D16" s="1" t="s">
        <v>5</v>
      </c>
      <c r="E16" s="1" t="s">
        <v>6</v>
      </c>
      <c r="F16" s="12">
        <v>1250</v>
      </c>
      <c r="I16" s="2" t="s">
        <v>0</v>
      </c>
    </row>
    <row r="17" spans="2:9" ht="15.6" x14ac:dyDescent="0.3">
      <c r="B17" s="3">
        <v>44593</v>
      </c>
      <c r="C17" t="str">
        <f t="shared" si="0"/>
        <v>February</v>
      </c>
      <c r="D17" s="1" t="s">
        <v>0</v>
      </c>
      <c r="E17" s="1" t="s">
        <v>23</v>
      </c>
      <c r="F17" s="12">
        <v>105</v>
      </c>
      <c r="I17" s="2" t="s">
        <v>8</v>
      </c>
    </row>
    <row r="18" spans="2:9" ht="15.6" x14ac:dyDescent="0.3">
      <c r="B18" s="3">
        <v>44593</v>
      </c>
      <c r="C18" t="str">
        <f t="shared" si="0"/>
        <v>February</v>
      </c>
      <c r="D18" s="1" t="s">
        <v>8</v>
      </c>
      <c r="E18" s="1" t="s">
        <v>9</v>
      </c>
      <c r="F18" s="12">
        <v>52</v>
      </c>
      <c r="I18" s="2" t="s">
        <v>1</v>
      </c>
    </row>
    <row r="19" spans="2:9" ht="15.6" x14ac:dyDescent="0.3">
      <c r="B19" s="3">
        <v>44600</v>
      </c>
      <c r="C19" t="str">
        <f t="shared" si="0"/>
        <v>February</v>
      </c>
      <c r="D19" s="1" t="s">
        <v>1</v>
      </c>
      <c r="E19" s="1" t="s">
        <v>10</v>
      </c>
      <c r="F19" s="12">
        <v>305</v>
      </c>
      <c r="I19" s="2" t="s">
        <v>11</v>
      </c>
    </row>
    <row r="20" spans="2:9" ht="15.6" x14ac:dyDescent="0.3">
      <c r="B20" s="3">
        <v>44603</v>
      </c>
      <c r="C20" t="str">
        <f t="shared" si="0"/>
        <v>February</v>
      </c>
      <c r="D20" s="1" t="s">
        <v>11</v>
      </c>
      <c r="E20" s="1" t="s">
        <v>24</v>
      </c>
      <c r="F20" s="12">
        <v>28</v>
      </c>
      <c r="I20" s="2" t="s">
        <v>15</v>
      </c>
    </row>
    <row r="21" spans="2:9" ht="15.6" x14ac:dyDescent="0.3">
      <c r="B21" s="3">
        <v>44604</v>
      </c>
      <c r="C21" t="str">
        <f t="shared" si="0"/>
        <v>February</v>
      </c>
      <c r="D21" s="1" t="s">
        <v>11</v>
      </c>
      <c r="E21" s="1" t="s">
        <v>25</v>
      </c>
      <c r="F21" s="12">
        <v>99</v>
      </c>
    </row>
    <row r="22" spans="2:9" ht="15.6" x14ac:dyDescent="0.3">
      <c r="B22" s="3">
        <v>44604</v>
      </c>
      <c r="C22" t="str">
        <f t="shared" si="0"/>
        <v>February</v>
      </c>
      <c r="D22" s="1" t="s">
        <v>11</v>
      </c>
      <c r="E22" s="1" t="s">
        <v>26</v>
      </c>
      <c r="F22" s="12">
        <v>67</v>
      </c>
    </row>
    <row r="23" spans="2:9" ht="15.6" x14ac:dyDescent="0.3">
      <c r="B23" s="3">
        <v>44606</v>
      </c>
      <c r="C23" t="str">
        <f t="shared" si="0"/>
        <v>February</v>
      </c>
      <c r="D23" s="1" t="s">
        <v>15</v>
      </c>
      <c r="E23" s="1" t="s">
        <v>27</v>
      </c>
      <c r="F23" s="12">
        <v>18</v>
      </c>
    </row>
    <row r="24" spans="2:9" ht="15.6" x14ac:dyDescent="0.3">
      <c r="B24" s="3">
        <v>44620</v>
      </c>
      <c r="C24" t="str">
        <f t="shared" si="0"/>
        <v>February</v>
      </c>
      <c r="D24" s="1" t="s">
        <v>17</v>
      </c>
      <c r="E24" s="1" t="s">
        <v>18</v>
      </c>
      <c r="F24" s="12">
        <v>1025</v>
      </c>
    </row>
    <row r="25" spans="2:9" ht="15.6" x14ac:dyDescent="0.3">
      <c r="B25" s="3">
        <v>44620</v>
      </c>
      <c r="C25" t="str">
        <f t="shared" si="0"/>
        <v>February</v>
      </c>
      <c r="D25" s="1" t="s">
        <v>19</v>
      </c>
      <c r="E25" s="1" t="s">
        <v>20</v>
      </c>
      <c r="F25" s="12">
        <v>3500</v>
      </c>
    </row>
    <row r="26" spans="2:9" ht="15.6" x14ac:dyDescent="0.3">
      <c r="B26" s="3">
        <v>44620</v>
      </c>
      <c r="C26" t="str">
        <f t="shared" si="0"/>
        <v>February</v>
      </c>
      <c r="D26" s="1" t="s">
        <v>21</v>
      </c>
      <c r="E26" s="1" t="s">
        <v>22</v>
      </c>
      <c r="F26" s="12">
        <v>228</v>
      </c>
    </row>
    <row r="27" spans="2:9" ht="15.6" x14ac:dyDescent="0.3">
      <c r="B27" s="3">
        <v>44620</v>
      </c>
      <c r="C27" t="str">
        <f t="shared" si="0"/>
        <v>February</v>
      </c>
      <c r="D27" s="1" t="s">
        <v>28</v>
      </c>
      <c r="E27" s="1" t="s">
        <v>29</v>
      </c>
      <c r="F27" s="12">
        <v>195</v>
      </c>
    </row>
    <row r="28" spans="2:9" ht="15.6" x14ac:dyDescent="0.3">
      <c r="B28" s="3">
        <v>44621</v>
      </c>
      <c r="C28" t="str">
        <f t="shared" si="0"/>
        <v>March</v>
      </c>
      <c r="D28" s="1" t="s">
        <v>5</v>
      </c>
      <c r="E28" s="1" t="s">
        <v>6</v>
      </c>
      <c r="F28" s="12">
        <v>1250</v>
      </c>
    </row>
    <row r="29" spans="2:9" ht="15.6" x14ac:dyDescent="0.3">
      <c r="B29" s="3">
        <v>44621</v>
      </c>
      <c r="C29" t="str">
        <f t="shared" si="0"/>
        <v>March</v>
      </c>
      <c r="D29" s="1" t="s">
        <v>0</v>
      </c>
      <c r="E29" s="1" t="s">
        <v>23</v>
      </c>
      <c r="F29" s="12">
        <v>110</v>
      </c>
    </row>
    <row r="30" spans="2:9" ht="15.6" x14ac:dyDescent="0.3">
      <c r="B30" s="3">
        <v>44621</v>
      </c>
      <c r="C30" t="str">
        <f t="shared" si="0"/>
        <v>March</v>
      </c>
      <c r="D30" s="1" t="s">
        <v>8</v>
      </c>
      <c r="E30" s="1" t="s">
        <v>9</v>
      </c>
      <c r="F30" s="12">
        <v>52</v>
      </c>
    </row>
    <row r="31" spans="2:9" ht="15.6" x14ac:dyDescent="0.3">
      <c r="B31" s="3">
        <v>44628</v>
      </c>
      <c r="C31" t="str">
        <f t="shared" si="0"/>
        <v>March</v>
      </c>
      <c r="D31" s="1" t="s">
        <v>1</v>
      </c>
      <c r="E31" s="1" t="s">
        <v>10</v>
      </c>
      <c r="F31" s="12">
        <v>208</v>
      </c>
    </row>
    <row r="32" spans="2:9" ht="15.6" x14ac:dyDescent="0.3">
      <c r="B32" s="3">
        <v>44631</v>
      </c>
      <c r="C32" t="str">
        <f t="shared" si="0"/>
        <v>March</v>
      </c>
      <c r="D32" s="1" t="s">
        <v>11</v>
      </c>
      <c r="E32" s="1" t="s">
        <v>30</v>
      </c>
      <c r="F32" s="12">
        <v>188</v>
      </c>
    </row>
    <row r="33" spans="2:6" ht="15.6" x14ac:dyDescent="0.3">
      <c r="B33" s="3">
        <v>44632</v>
      </c>
      <c r="C33" t="str">
        <f t="shared" si="0"/>
        <v>March</v>
      </c>
      <c r="D33" s="1" t="s">
        <v>11</v>
      </c>
      <c r="E33" s="1" t="s">
        <v>31</v>
      </c>
      <c r="F33" s="12">
        <v>168</v>
      </c>
    </row>
    <row r="34" spans="2:6" ht="15.6" x14ac:dyDescent="0.3">
      <c r="B34" s="3">
        <v>44632</v>
      </c>
      <c r="C34" t="str">
        <f t="shared" si="0"/>
        <v>March</v>
      </c>
      <c r="D34" s="1" t="s">
        <v>11</v>
      </c>
      <c r="E34" s="1" t="s">
        <v>32</v>
      </c>
      <c r="F34" s="12">
        <v>49</v>
      </c>
    </row>
    <row r="35" spans="2:6" ht="15.6" x14ac:dyDescent="0.3">
      <c r="B35" s="3">
        <v>44634</v>
      </c>
      <c r="C35" t="str">
        <f t="shared" si="0"/>
        <v>March</v>
      </c>
      <c r="D35" s="1" t="s">
        <v>15</v>
      </c>
      <c r="E35" s="1" t="s">
        <v>16</v>
      </c>
      <c r="F35" s="12">
        <v>199</v>
      </c>
    </row>
    <row r="36" spans="2:6" ht="15.6" x14ac:dyDescent="0.3">
      <c r="B36" s="3">
        <v>44648</v>
      </c>
      <c r="C36" t="str">
        <f t="shared" si="0"/>
        <v>March</v>
      </c>
      <c r="D36" s="1" t="s">
        <v>17</v>
      </c>
      <c r="E36" s="1" t="s">
        <v>18</v>
      </c>
      <c r="F36" s="12">
        <v>999</v>
      </c>
    </row>
    <row r="37" spans="2:6" ht="15.6" x14ac:dyDescent="0.3">
      <c r="B37" s="3">
        <v>44648</v>
      </c>
      <c r="C37" t="str">
        <f t="shared" si="0"/>
        <v>March</v>
      </c>
      <c r="D37" s="1" t="s">
        <v>19</v>
      </c>
      <c r="E37" s="1" t="s">
        <v>20</v>
      </c>
      <c r="F37" s="12">
        <v>3500</v>
      </c>
    </row>
    <row r="38" spans="2:6" ht="15.6" x14ac:dyDescent="0.3">
      <c r="B38" s="3">
        <v>44648</v>
      </c>
      <c r="C38" t="str">
        <f t="shared" si="0"/>
        <v>March</v>
      </c>
      <c r="D38" s="1" t="s">
        <v>28</v>
      </c>
      <c r="E38" s="1" t="s">
        <v>29</v>
      </c>
      <c r="F38" s="12">
        <v>299</v>
      </c>
    </row>
    <row r="39" spans="2:6" ht="15.6" x14ac:dyDescent="0.3">
      <c r="B39" s="3">
        <v>44648</v>
      </c>
      <c r="C39" t="str">
        <f t="shared" si="0"/>
        <v>March</v>
      </c>
      <c r="D39" s="1" t="s">
        <v>21</v>
      </c>
      <c r="E39" s="1" t="s">
        <v>22</v>
      </c>
      <c r="F39" s="12">
        <v>59</v>
      </c>
    </row>
    <row r="40" spans="2:6" ht="15.6" x14ac:dyDescent="0.3">
      <c r="B40" s="3">
        <v>44652</v>
      </c>
      <c r="C40" t="str">
        <f t="shared" si="0"/>
        <v>April</v>
      </c>
      <c r="D40" s="1" t="s">
        <v>5</v>
      </c>
      <c r="E40" s="1" t="s">
        <v>6</v>
      </c>
      <c r="F40" s="12">
        <v>1250</v>
      </c>
    </row>
    <row r="41" spans="2:6" ht="15.6" x14ac:dyDescent="0.3">
      <c r="B41" s="3">
        <v>44652</v>
      </c>
      <c r="C41" t="str">
        <f t="shared" si="0"/>
        <v>April</v>
      </c>
      <c r="D41" s="1" t="s">
        <v>0</v>
      </c>
      <c r="E41" s="1" t="s">
        <v>7</v>
      </c>
      <c r="F41" s="12">
        <v>140</v>
      </c>
    </row>
    <row r="42" spans="2:6" ht="15.6" x14ac:dyDescent="0.3">
      <c r="B42" s="3">
        <v>44652</v>
      </c>
      <c r="C42" t="str">
        <f t="shared" si="0"/>
        <v>April</v>
      </c>
      <c r="D42" s="1" t="s">
        <v>8</v>
      </c>
      <c r="E42" s="1" t="s">
        <v>9</v>
      </c>
      <c r="F42" s="12">
        <v>52</v>
      </c>
    </row>
    <row r="43" spans="2:6" ht="15.6" x14ac:dyDescent="0.3">
      <c r="B43" s="3">
        <v>44659</v>
      </c>
      <c r="C43" t="str">
        <f t="shared" si="0"/>
        <v>April</v>
      </c>
      <c r="D43" s="1" t="s">
        <v>1</v>
      </c>
      <c r="E43" s="1" t="s">
        <v>10</v>
      </c>
      <c r="F43" s="12">
        <v>449</v>
      </c>
    </row>
    <row r="44" spans="2:6" ht="15.6" x14ac:dyDescent="0.3">
      <c r="B44" s="3">
        <v>44659</v>
      </c>
      <c r="C44" t="str">
        <f t="shared" si="0"/>
        <v>April</v>
      </c>
      <c r="D44" s="1" t="s">
        <v>28</v>
      </c>
      <c r="E44" s="1" t="s">
        <v>29</v>
      </c>
      <c r="F44" s="12">
        <v>359</v>
      </c>
    </row>
    <row r="45" spans="2:6" ht="15.6" x14ac:dyDescent="0.3">
      <c r="B45" s="3">
        <v>44662</v>
      </c>
      <c r="C45" t="str">
        <f t="shared" si="0"/>
        <v>April</v>
      </c>
      <c r="D45" s="1" t="s">
        <v>11</v>
      </c>
      <c r="E45" s="1" t="s">
        <v>33</v>
      </c>
      <c r="F45" s="12">
        <v>245</v>
      </c>
    </row>
    <row r="46" spans="2:6" ht="15.6" x14ac:dyDescent="0.3">
      <c r="B46" s="3">
        <v>44663</v>
      </c>
      <c r="C46" t="str">
        <f t="shared" si="0"/>
        <v>April</v>
      </c>
      <c r="D46" s="1" t="s">
        <v>11</v>
      </c>
      <c r="E46" s="1" t="s">
        <v>13</v>
      </c>
      <c r="F46" s="12">
        <v>168</v>
      </c>
    </row>
    <row r="47" spans="2:6" ht="15.6" x14ac:dyDescent="0.3">
      <c r="B47" s="3">
        <v>44663</v>
      </c>
      <c r="C47" t="str">
        <f t="shared" si="0"/>
        <v>April</v>
      </c>
      <c r="D47" s="1" t="s">
        <v>11</v>
      </c>
      <c r="E47" s="1" t="s">
        <v>34</v>
      </c>
      <c r="F47" s="12">
        <v>49</v>
      </c>
    </row>
    <row r="48" spans="2:6" ht="15.6" x14ac:dyDescent="0.3">
      <c r="B48" s="3">
        <v>44665</v>
      </c>
      <c r="C48" t="str">
        <f t="shared" si="0"/>
        <v>April</v>
      </c>
      <c r="D48" s="1" t="s">
        <v>15</v>
      </c>
      <c r="E48" s="1" t="s">
        <v>16</v>
      </c>
      <c r="F48" s="12">
        <v>249</v>
      </c>
    </row>
    <row r="49" spans="2:6" ht="15.6" x14ac:dyDescent="0.3">
      <c r="B49" s="3">
        <v>44679</v>
      </c>
      <c r="C49" t="str">
        <f t="shared" si="0"/>
        <v>April</v>
      </c>
      <c r="D49" s="1" t="s">
        <v>17</v>
      </c>
      <c r="E49" s="1" t="s">
        <v>18</v>
      </c>
      <c r="F49" s="12">
        <v>1243</v>
      </c>
    </row>
    <row r="50" spans="2:6" ht="15.6" x14ac:dyDescent="0.3">
      <c r="B50" s="3">
        <v>44679</v>
      </c>
      <c r="C50" t="str">
        <f t="shared" si="0"/>
        <v>April</v>
      </c>
      <c r="D50" s="1" t="s">
        <v>19</v>
      </c>
      <c r="E50" s="1" t="s">
        <v>20</v>
      </c>
      <c r="F50" s="12">
        <v>3500</v>
      </c>
    </row>
    <row r="51" spans="2:6" ht="15.6" x14ac:dyDescent="0.3">
      <c r="B51" s="3">
        <v>44679</v>
      </c>
      <c r="C51" t="str">
        <f t="shared" si="0"/>
        <v>April</v>
      </c>
      <c r="D51" s="1" t="s">
        <v>21</v>
      </c>
      <c r="E51" s="1" t="s">
        <v>22</v>
      </c>
      <c r="F51" s="12">
        <v>258</v>
      </c>
    </row>
    <row r="52" spans="2:6" ht="15.6" x14ac:dyDescent="0.3">
      <c r="B52" s="3">
        <v>44682</v>
      </c>
      <c r="C52" t="str">
        <f t="shared" si="0"/>
        <v>May</v>
      </c>
      <c r="D52" s="1" t="s">
        <v>5</v>
      </c>
      <c r="E52" s="1" t="s">
        <v>6</v>
      </c>
      <c r="F52" s="12">
        <v>1250</v>
      </c>
    </row>
    <row r="53" spans="2:6" ht="15.6" x14ac:dyDescent="0.3">
      <c r="B53" s="3">
        <v>44682</v>
      </c>
      <c r="C53" t="str">
        <f t="shared" si="0"/>
        <v>May</v>
      </c>
      <c r="D53" s="1" t="s">
        <v>0</v>
      </c>
      <c r="E53" s="1" t="s">
        <v>7</v>
      </c>
      <c r="F53" s="12">
        <v>152</v>
      </c>
    </row>
    <row r="54" spans="2:6" ht="15.6" x14ac:dyDescent="0.3">
      <c r="B54" s="3">
        <v>44682</v>
      </c>
      <c r="C54" t="str">
        <f t="shared" si="0"/>
        <v>May</v>
      </c>
      <c r="D54" s="1" t="s">
        <v>8</v>
      </c>
      <c r="E54" s="1" t="s">
        <v>9</v>
      </c>
      <c r="F54" s="12">
        <v>52</v>
      </c>
    </row>
    <row r="55" spans="2:6" ht="15.6" x14ac:dyDescent="0.3">
      <c r="B55" s="3">
        <v>44689</v>
      </c>
      <c r="C55" t="str">
        <f t="shared" si="0"/>
        <v>May</v>
      </c>
      <c r="D55" s="1" t="s">
        <v>1</v>
      </c>
      <c r="E55" s="1" t="s">
        <v>10</v>
      </c>
      <c r="F55" s="12">
        <v>449</v>
      </c>
    </row>
    <row r="56" spans="2:6" ht="15.6" x14ac:dyDescent="0.3">
      <c r="B56" s="3">
        <v>44692</v>
      </c>
      <c r="C56" t="str">
        <f t="shared" si="0"/>
        <v>May</v>
      </c>
      <c r="D56" s="1" t="s">
        <v>11</v>
      </c>
      <c r="E56" s="1" t="s">
        <v>12</v>
      </c>
      <c r="F56" s="12">
        <v>245</v>
      </c>
    </row>
    <row r="57" spans="2:6" ht="15.6" x14ac:dyDescent="0.3">
      <c r="B57" s="3">
        <v>44693</v>
      </c>
      <c r="C57" t="str">
        <f t="shared" si="0"/>
        <v>May</v>
      </c>
      <c r="D57" s="1" t="s">
        <v>11</v>
      </c>
      <c r="E57" s="1" t="s">
        <v>13</v>
      </c>
      <c r="F57" s="12">
        <v>168</v>
      </c>
    </row>
    <row r="58" spans="2:6" ht="15.6" x14ac:dyDescent="0.3">
      <c r="B58" s="3">
        <v>44693</v>
      </c>
      <c r="C58" t="str">
        <f t="shared" si="0"/>
        <v>May</v>
      </c>
      <c r="D58" s="1" t="s">
        <v>11</v>
      </c>
      <c r="E58" s="1" t="s">
        <v>35</v>
      </c>
      <c r="F58" s="12">
        <v>233</v>
      </c>
    </row>
    <row r="59" spans="2:6" ht="15.6" x14ac:dyDescent="0.3">
      <c r="B59" s="3">
        <v>44695</v>
      </c>
      <c r="C59" t="str">
        <f t="shared" si="0"/>
        <v>May</v>
      </c>
      <c r="D59" s="1" t="s">
        <v>15</v>
      </c>
      <c r="E59" s="1" t="s">
        <v>16</v>
      </c>
      <c r="F59" s="12">
        <v>249</v>
      </c>
    </row>
    <row r="60" spans="2:6" ht="15.6" x14ac:dyDescent="0.3">
      <c r="B60" s="3">
        <v>44709</v>
      </c>
      <c r="C60" t="str">
        <f t="shared" si="0"/>
        <v>May</v>
      </c>
      <c r="D60" s="1" t="s">
        <v>17</v>
      </c>
      <c r="E60" s="1" t="s">
        <v>18</v>
      </c>
      <c r="F60" s="12">
        <v>1450</v>
      </c>
    </row>
    <row r="61" spans="2:6" ht="15.6" x14ac:dyDescent="0.3">
      <c r="B61" s="3">
        <v>44709</v>
      </c>
      <c r="C61" t="str">
        <f t="shared" si="0"/>
        <v>May</v>
      </c>
      <c r="D61" s="1" t="s">
        <v>19</v>
      </c>
      <c r="E61" s="1" t="s">
        <v>20</v>
      </c>
      <c r="F61" s="12">
        <v>3500</v>
      </c>
    </row>
    <row r="62" spans="2:6" ht="15.6" x14ac:dyDescent="0.3">
      <c r="B62" s="3">
        <v>44709</v>
      </c>
      <c r="C62" t="str">
        <f t="shared" si="0"/>
        <v>May</v>
      </c>
      <c r="D62" s="1" t="s">
        <v>21</v>
      </c>
      <c r="E62" s="1" t="s">
        <v>22</v>
      </c>
      <c r="F62" s="12">
        <v>366</v>
      </c>
    </row>
    <row r="63" spans="2:6" ht="15.6" x14ac:dyDescent="0.3">
      <c r="B63" s="3">
        <v>44710</v>
      </c>
      <c r="C63" t="str">
        <f t="shared" si="0"/>
        <v>May</v>
      </c>
      <c r="D63" s="1" t="s">
        <v>21</v>
      </c>
      <c r="E63" s="1" t="s">
        <v>36</v>
      </c>
      <c r="F63" s="12">
        <v>1000</v>
      </c>
    </row>
    <row r="64" spans="2:6" ht="15.6" x14ac:dyDescent="0.3">
      <c r="B64" s="3">
        <v>44713</v>
      </c>
      <c r="C64" t="str">
        <f t="shared" si="0"/>
        <v>June</v>
      </c>
      <c r="D64" s="1" t="s">
        <v>5</v>
      </c>
      <c r="E64" s="1" t="s">
        <v>6</v>
      </c>
      <c r="F64" s="12">
        <v>1250</v>
      </c>
    </row>
    <row r="65" spans="2:6" ht="15.6" x14ac:dyDescent="0.3">
      <c r="B65" s="3">
        <v>44713</v>
      </c>
      <c r="C65" t="str">
        <f t="shared" si="0"/>
        <v>June</v>
      </c>
      <c r="D65" s="1" t="s">
        <v>0</v>
      </c>
      <c r="E65" s="1" t="s">
        <v>7</v>
      </c>
      <c r="F65" s="12">
        <v>152</v>
      </c>
    </row>
    <row r="66" spans="2:6" ht="15.6" x14ac:dyDescent="0.3">
      <c r="B66" s="3">
        <v>44713</v>
      </c>
      <c r="C66" t="str">
        <f t="shared" si="0"/>
        <v>June</v>
      </c>
      <c r="D66" s="1" t="s">
        <v>8</v>
      </c>
      <c r="E66" s="1" t="s">
        <v>9</v>
      </c>
      <c r="F66" s="12">
        <v>52</v>
      </c>
    </row>
    <row r="67" spans="2:6" ht="15.6" x14ac:dyDescent="0.3">
      <c r="B67" s="3">
        <v>44720</v>
      </c>
      <c r="C67" t="str">
        <f t="shared" si="0"/>
        <v>June</v>
      </c>
      <c r="D67" s="1" t="s">
        <v>1</v>
      </c>
      <c r="E67" s="1" t="s">
        <v>10</v>
      </c>
      <c r="F67" s="12">
        <v>560</v>
      </c>
    </row>
    <row r="68" spans="2:6" ht="15.6" x14ac:dyDescent="0.3">
      <c r="B68" s="3">
        <v>44723</v>
      </c>
      <c r="C68" t="str">
        <f t="shared" si="0"/>
        <v>June</v>
      </c>
      <c r="D68" s="1" t="s">
        <v>11</v>
      </c>
      <c r="E68" s="1" t="s">
        <v>37</v>
      </c>
      <c r="F68" s="12">
        <v>280</v>
      </c>
    </row>
    <row r="69" spans="2:6" ht="15.6" x14ac:dyDescent="0.3">
      <c r="B69" s="3">
        <v>44724</v>
      </c>
      <c r="C69" t="str">
        <f t="shared" si="0"/>
        <v>June</v>
      </c>
      <c r="D69" s="1" t="s">
        <v>11</v>
      </c>
      <c r="E69" s="1" t="s">
        <v>13</v>
      </c>
      <c r="F69" s="12">
        <v>250</v>
      </c>
    </row>
    <row r="70" spans="2:6" ht="15.6" x14ac:dyDescent="0.3">
      <c r="B70" s="3">
        <v>44724</v>
      </c>
      <c r="C70" t="str">
        <f t="shared" ref="C69:D95" si="1">TEXT(B70,"MMMM")</f>
        <v>June</v>
      </c>
      <c r="D70" s="1" t="s">
        <v>11</v>
      </c>
      <c r="E70" s="1" t="s">
        <v>38</v>
      </c>
      <c r="F70" s="12">
        <v>99</v>
      </c>
    </row>
    <row r="71" spans="2:6" ht="15.6" x14ac:dyDescent="0.3">
      <c r="B71" s="3">
        <v>44742</v>
      </c>
      <c r="C71" t="str">
        <f t="shared" si="1"/>
        <v>June</v>
      </c>
      <c r="D71" s="1" t="s">
        <v>17</v>
      </c>
      <c r="E71" s="1" t="s">
        <v>18</v>
      </c>
      <c r="F71" s="12">
        <v>2232</v>
      </c>
    </row>
    <row r="72" spans="2:6" ht="15.6" x14ac:dyDescent="0.3">
      <c r="B72" s="3">
        <v>44742</v>
      </c>
      <c r="C72" t="str">
        <f t="shared" si="1"/>
        <v>June</v>
      </c>
      <c r="D72" s="1" t="s">
        <v>19</v>
      </c>
      <c r="E72" s="1" t="s">
        <v>20</v>
      </c>
      <c r="F72" s="12">
        <v>3500</v>
      </c>
    </row>
    <row r="73" spans="2:6" ht="15.6" x14ac:dyDescent="0.3">
      <c r="B73" s="3">
        <v>44742</v>
      </c>
      <c r="C73" t="str">
        <f t="shared" si="1"/>
        <v>June</v>
      </c>
      <c r="D73" s="1" t="s">
        <v>21</v>
      </c>
      <c r="E73" s="1" t="s">
        <v>22</v>
      </c>
      <c r="F73" s="12">
        <v>199</v>
      </c>
    </row>
    <row r="74" spans="2:6" ht="15.6" x14ac:dyDescent="0.3">
      <c r="B74" s="3">
        <v>44742</v>
      </c>
      <c r="C74" t="str">
        <f t="shared" si="1"/>
        <v>June</v>
      </c>
      <c r="D74" s="1" t="s">
        <v>28</v>
      </c>
      <c r="E74" s="1" t="s">
        <v>22</v>
      </c>
      <c r="F74" s="12">
        <v>250</v>
      </c>
    </row>
    <row r="75" spans="2:6" ht="15.6" x14ac:dyDescent="0.3">
      <c r="B75" s="3">
        <v>44743</v>
      </c>
      <c r="C75" t="str">
        <f t="shared" si="1"/>
        <v>July</v>
      </c>
      <c r="D75" s="1" t="s">
        <v>0</v>
      </c>
      <c r="E75" s="1" t="s">
        <v>23</v>
      </c>
      <c r="F75" s="12">
        <v>110</v>
      </c>
    </row>
    <row r="76" spans="2:6" ht="15.6" x14ac:dyDescent="0.3">
      <c r="B76" s="3">
        <v>44743</v>
      </c>
      <c r="C76" t="str">
        <f t="shared" si="1"/>
        <v>July</v>
      </c>
      <c r="D76" s="1" t="s">
        <v>8</v>
      </c>
      <c r="E76" s="1" t="s">
        <v>9</v>
      </c>
      <c r="F76" s="12">
        <v>45</v>
      </c>
    </row>
    <row r="77" spans="2:6" ht="15.6" x14ac:dyDescent="0.3">
      <c r="B77" s="3">
        <v>44743</v>
      </c>
      <c r="C77" t="str">
        <f t="shared" si="1"/>
        <v>July</v>
      </c>
      <c r="D77" s="1" t="s">
        <v>5</v>
      </c>
      <c r="E77" s="1" t="s">
        <v>6</v>
      </c>
      <c r="F77" s="12">
        <v>1250</v>
      </c>
    </row>
    <row r="78" spans="2:6" ht="15.6" x14ac:dyDescent="0.3">
      <c r="B78" s="3">
        <v>44753</v>
      </c>
      <c r="C78" t="str">
        <f t="shared" si="1"/>
        <v>July</v>
      </c>
      <c r="D78" s="1" t="s">
        <v>1</v>
      </c>
      <c r="E78" s="1" t="s">
        <v>10</v>
      </c>
      <c r="F78" s="12">
        <v>208</v>
      </c>
    </row>
    <row r="79" spans="2:6" ht="15.6" x14ac:dyDescent="0.3">
      <c r="B79" s="3">
        <v>44753</v>
      </c>
      <c r="C79" t="str">
        <f t="shared" si="1"/>
        <v>July</v>
      </c>
      <c r="D79" s="1" t="s">
        <v>11</v>
      </c>
      <c r="E79" s="1" t="s">
        <v>30</v>
      </c>
      <c r="F79" s="12">
        <v>245</v>
      </c>
    </row>
    <row r="80" spans="2:6" ht="15.6" x14ac:dyDescent="0.3">
      <c r="B80" s="3">
        <v>44753</v>
      </c>
      <c r="C80" t="str">
        <f t="shared" si="1"/>
        <v>July</v>
      </c>
      <c r="D80" s="1" t="s">
        <v>11</v>
      </c>
      <c r="E80" s="1" t="s">
        <v>32</v>
      </c>
      <c r="F80" s="12">
        <v>49</v>
      </c>
    </row>
    <row r="81" spans="2:6" ht="15.6" x14ac:dyDescent="0.3">
      <c r="B81" s="3">
        <v>44755</v>
      </c>
      <c r="C81" t="str">
        <f t="shared" si="1"/>
        <v>July</v>
      </c>
      <c r="D81" s="1" t="s">
        <v>15</v>
      </c>
      <c r="E81" s="1" t="s">
        <v>16</v>
      </c>
      <c r="F81" s="12">
        <v>399</v>
      </c>
    </row>
    <row r="82" spans="2:6" ht="15.6" x14ac:dyDescent="0.3">
      <c r="B82" s="3">
        <v>44770</v>
      </c>
      <c r="C82" t="str">
        <f t="shared" si="1"/>
        <v>July</v>
      </c>
      <c r="D82" s="1" t="s">
        <v>17</v>
      </c>
      <c r="E82" s="1" t="s">
        <v>18</v>
      </c>
      <c r="F82" s="12">
        <v>2231</v>
      </c>
    </row>
    <row r="83" spans="2:6" ht="15.6" x14ac:dyDescent="0.3">
      <c r="B83" s="3">
        <v>44770</v>
      </c>
      <c r="C83" t="str">
        <f t="shared" si="1"/>
        <v>July</v>
      </c>
      <c r="D83" s="1" t="s">
        <v>19</v>
      </c>
      <c r="E83" s="1" t="s">
        <v>20</v>
      </c>
      <c r="F83" s="12">
        <v>3500</v>
      </c>
    </row>
    <row r="84" spans="2:6" ht="15.6" x14ac:dyDescent="0.3">
      <c r="B84" s="3">
        <v>44770</v>
      </c>
      <c r="C84" t="str">
        <f t="shared" si="1"/>
        <v>July</v>
      </c>
      <c r="D84" s="1" t="s">
        <v>28</v>
      </c>
      <c r="E84" s="1" t="s">
        <v>29</v>
      </c>
      <c r="F84" s="12">
        <v>215</v>
      </c>
    </row>
    <row r="85" spans="2:6" ht="15.6" x14ac:dyDescent="0.3">
      <c r="B85" s="3">
        <v>44770</v>
      </c>
      <c r="C85" t="str">
        <f t="shared" si="1"/>
        <v>July</v>
      </c>
      <c r="D85" s="1" t="s">
        <v>21</v>
      </c>
      <c r="E85" s="1" t="s">
        <v>22</v>
      </c>
      <c r="F85" s="12">
        <v>59</v>
      </c>
    </row>
    <row r="86" spans="2:6" ht="15.6" x14ac:dyDescent="0.3">
      <c r="B86" s="3">
        <v>44774</v>
      </c>
      <c r="C86" t="str">
        <f t="shared" si="1"/>
        <v>August</v>
      </c>
      <c r="D86" s="1" t="s">
        <v>0</v>
      </c>
      <c r="E86" s="1" t="s">
        <v>23</v>
      </c>
      <c r="F86" s="12">
        <v>110</v>
      </c>
    </row>
    <row r="87" spans="2:6" ht="15.6" x14ac:dyDescent="0.3">
      <c r="B87" s="3">
        <v>44774</v>
      </c>
      <c r="C87" t="str">
        <f t="shared" si="1"/>
        <v>August</v>
      </c>
      <c r="D87" s="1" t="s">
        <v>5</v>
      </c>
      <c r="E87" s="1" t="s">
        <v>6</v>
      </c>
      <c r="F87" s="12">
        <v>1250</v>
      </c>
    </row>
    <row r="88" spans="2:6" ht="15.6" x14ac:dyDescent="0.3">
      <c r="B88" s="3">
        <v>44774</v>
      </c>
      <c r="C88" t="str">
        <f t="shared" si="1"/>
        <v>August</v>
      </c>
      <c r="D88" s="1" t="s">
        <v>8</v>
      </c>
      <c r="E88" s="1" t="s">
        <v>9</v>
      </c>
      <c r="F88" s="12">
        <v>52</v>
      </c>
    </row>
    <row r="89" spans="2:6" ht="15.6" x14ac:dyDescent="0.3">
      <c r="B89" s="3">
        <v>44774</v>
      </c>
      <c r="C89" t="str">
        <f t="shared" si="1"/>
        <v>August</v>
      </c>
      <c r="D89" s="1" t="s">
        <v>1</v>
      </c>
      <c r="E89" s="1" t="s">
        <v>10</v>
      </c>
      <c r="F89" s="12">
        <v>208</v>
      </c>
    </row>
    <row r="90" spans="2:6" ht="15.6" x14ac:dyDescent="0.3">
      <c r="B90" s="3">
        <v>44789</v>
      </c>
      <c r="C90" t="str">
        <f t="shared" si="1"/>
        <v>August</v>
      </c>
      <c r="D90" s="1" t="s">
        <v>11</v>
      </c>
      <c r="E90" s="1" t="s">
        <v>39</v>
      </c>
      <c r="F90" s="12">
        <v>147</v>
      </c>
    </row>
    <row r="91" spans="2:6" ht="15.6" x14ac:dyDescent="0.3">
      <c r="B91" s="3">
        <v>44789</v>
      </c>
      <c r="C91" t="str">
        <f t="shared" si="1"/>
        <v>August</v>
      </c>
      <c r="D91" s="1" t="s">
        <v>15</v>
      </c>
      <c r="E91" s="1" t="s">
        <v>40</v>
      </c>
      <c r="F91" s="12">
        <v>149</v>
      </c>
    </row>
    <row r="92" spans="2:6" ht="15.6" x14ac:dyDescent="0.3">
      <c r="B92" s="3">
        <v>44789</v>
      </c>
      <c r="C92" t="str">
        <f t="shared" si="1"/>
        <v>August</v>
      </c>
      <c r="D92" s="1" t="s">
        <v>17</v>
      </c>
      <c r="E92" s="1" t="s">
        <v>18</v>
      </c>
      <c r="F92" s="12">
        <v>2300</v>
      </c>
    </row>
    <row r="93" spans="2:6" ht="15.6" x14ac:dyDescent="0.3">
      <c r="B93" s="3">
        <v>44801</v>
      </c>
      <c r="C93" t="str">
        <f t="shared" si="1"/>
        <v>August</v>
      </c>
      <c r="D93" s="1" t="s">
        <v>19</v>
      </c>
      <c r="E93" s="1" t="s">
        <v>20</v>
      </c>
      <c r="F93" s="12">
        <v>3500</v>
      </c>
    </row>
    <row r="94" spans="2:6" ht="15.6" x14ac:dyDescent="0.3">
      <c r="B94" s="3">
        <v>44801</v>
      </c>
      <c r="C94" t="str">
        <f t="shared" si="1"/>
        <v>August</v>
      </c>
      <c r="D94" s="1" t="s">
        <v>28</v>
      </c>
      <c r="E94" s="1" t="s">
        <v>29</v>
      </c>
      <c r="F94" s="12">
        <v>350</v>
      </c>
    </row>
    <row r="95" spans="2:6" ht="15.6" x14ac:dyDescent="0.3">
      <c r="B95" s="3">
        <v>44801</v>
      </c>
      <c r="C95" t="str">
        <f t="shared" si="1"/>
        <v>August</v>
      </c>
      <c r="D95" s="1" t="s">
        <v>21</v>
      </c>
      <c r="E95" s="1" t="s">
        <v>22</v>
      </c>
      <c r="F95" s="12">
        <v>25</v>
      </c>
    </row>
    <row r="104" spans="4:4" x14ac:dyDescent="0.3">
      <c r="D104" t="e" cm="1">
        <f t="array" ref="D104">cou</f>
        <v>#NAME?</v>
      </c>
    </row>
    <row r="110" spans="4:4" x14ac:dyDescent="0.3">
      <c r="D110">
        <f>COUNTIF($C$5:$C$95,"January")</f>
        <v>11</v>
      </c>
    </row>
  </sheetData>
  <dataValidations count="2">
    <dataValidation type="list" allowBlank="1" showErrorMessage="1" sqref="D6:D95" xr:uid="{20C62F20-8991-41C1-9402-F53A22E75F50}">
      <formula1>$I$3:$I$11</formula1>
    </dataValidation>
    <dataValidation type="list" allowBlank="1" showErrorMessage="1" sqref="D5" xr:uid="{84F9D163-B95E-4975-8FBC-D400E272D2A9}">
      <formula1>$I$11:$I$20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25150-E7BD-4DCF-99E0-C688C41874FD}">
  <dimension ref="B2:Q29"/>
  <sheetViews>
    <sheetView showGridLines="0" tabSelected="1" topLeftCell="A25" zoomScale="85" zoomScaleNormal="85" workbookViewId="0">
      <selection activeCell="K11" sqref="K11"/>
    </sheetView>
  </sheetViews>
  <sheetFormatPr defaultRowHeight="14.4" x14ac:dyDescent="0.3"/>
  <cols>
    <col min="2" max="2" width="22.88671875" bestFit="1" customWidth="1"/>
    <col min="3" max="3" width="43.88671875" customWidth="1"/>
    <col min="4" max="4" width="12.6640625" customWidth="1"/>
    <col min="11" max="11" width="17.5546875" bestFit="1" customWidth="1"/>
    <col min="13" max="13" width="10.6640625" bestFit="1" customWidth="1"/>
    <col min="14" max="14" width="10.44140625" bestFit="1" customWidth="1"/>
  </cols>
  <sheetData>
    <row r="2" spans="2:17" ht="29.4" thickBot="1" x14ac:dyDescent="0.6">
      <c r="B2" s="7" t="s">
        <v>50</v>
      </c>
      <c r="C2" s="7"/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2:17" x14ac:dyDescent="0.3">
      <c r="E3" s="5"/>
    </row>
    <row r="4" spans="2:17" ht="15.6" x14ac:dyDescent="0.3">
      <c r="B4" s="13" t="s">
        <v>51</v>
      </c>
      <c r="C4" s="13" t="s">
        <v>52</v>
      </c>
      <c r="D4" s="13" t="s">
        <v>41</v>
      </c>
      <c r="E4" s="13" t="s">
        <v>42</v>
      </c>
      <c r="F4" s="13" t="s">
        <v>43</v>
      </c>
      <c r="G4" s="13" t="s">
        <v>44</v>
      </c>
      <c r="H4" s="13" t="s">
        <v>45</v>
      </c>
      <c r="I4" s="13" t="s">
        <v>46</v>
      </c>
      <c r="J4" s="13" t="s">
        <v>47</v>
      </c>
      <c r="K4" s="13" t="s">
        <v>53</v>
      </c>
      <c r="L4" s="13" t="s">
        <v>54</v>
      </c>
      <c r="M4" s="13" t="s">
        <v>55</v>
      </c>
      <c r="N4" s="13" t="s">
        <v>56</v>
      </c>
      <c r="O4" s="14"/>
      <c r="P4" s="13" t="s">
        <v>60</v>
      </c>
    </row>
    <row r="5" spans="2:17" x14ac:dyDescent="0.3">
      <c r="B5" t="s">
        <v>57</v>
      </c>
    </row>
    <row r="6" spans="2:17" ht="15.6" x14ac:dyDescent="0.3">
      <c r="B6" s="2" t="s">
        <v>19</v>
      </c>
      <c r="C6" s="12">
        <v>3500</v>
      </c>
      <c r="D6" s="12">
        <f>SUMIFS(inputs!$F$5:$F$95,inputs!$D$5:$D$95,'Dash board'!$B6,inputs!$C$5:$C$95,'Dash board'!D$4)</f>
        <v>3500</v>
      </c>
      <c r="E6" s="12">
        <f>SUMIFS(inputs!$F$5:$F$95,inputs!$D$5:$D$95,'Dash board'!$B6,inputs!$C$5:$C$95,'Dash board'!E$4)</f>
        <v>3500</v>
      </c>
      <c r="F6" s="12">
        <f>SUMIFS(inputs!$F$5:$F$95,inputs!$D$5:$D$95,'Dash board'!$B6,inputs!$C$5:$C$95,'Dash board'!F$4)</f>
        <v>3500</v>
      </c>
      <c r="G6" s="12">
        <f>SUMIFS(inputs!$F$5:$F$95,inputs!$D$5:$D$95,'Dash board'!$B6,inputs!$C$5:$C$95,'Dash board'!G$4)</f>
        <v>3500</v>
      </c>
      <c r="H6" s="12">
        <f>SUMIFS(inputs!$F$5:$F$95,inputs!$D$5:$D$95,'Dash board'!$B6,inputs!$C$5:$C$95,'Dash board'!H$4)</f>
        <v>3500</v>
      </c>
      <c r="I6" s="12">
        <f>SUMIFS(inputs!$F$5:$F$95,inputs!$D$5:$D$95,'Dash board'!$B6,inputs!$C$5:$C$95,'Dash board'!I$4)</f>
        <v>3500</v>
      </c>
      <c r="J6" s="12">
        <f>SUMIFS(inputs!$F$5:$F$95,inputs!$D$5:$D$95,'Dash board'!$B6,inputs!$C$5:$C$95,'Dash board'!J$4)</f>
        <v>3500</v>
      </c>
      <c r="K6" s="12">
        <f>SUMIFS(inputs!$F$5:$F$95,inputs!$D$5:$D$95,'Dash board'!$B6,inputs!$C$5:$C$95,'Dash board'!K$4)</f>
        <v>0</v>
      </c>
      <c r="L6" s="12">
        <f>SUMIFS(inputs!$F$5:$F$95,inputs!$D$5:$D$95,'Dash board'!$B6,inputs!$C$5:$C$95,'Dash board'!L$4)</f>
        <v>0</v>
      </c>
      <c r="M6" s="12">
        <f>SUMIFS(inputs!$F$5:$F$95,inputs!$D$5:$D$95,'Dash board'!$B6,inputs!$C$5:$C$95,'Dash board'!M$4)</f>
        <v>0</v>
      </c>
      <c r="N6" s="12">
        <f>SUMIFS(inputs!$F$5:$F$95,inputs!$D$5:$D$95,'Dash board'!$B6,inputs!$C$5:$C$95,'Dash board'!N$4)</f>
        <v>0</v>
      </c>
      <c r="P6" s="12">
        <f>SUM(C6:N6)</f>
        <v>28000</v>
      </c>
    </row>
    <row r="7" spans="2:17" ht="15.6" x14ac:dyDescent="0.3">
      <c r="B7" s="2" t="s">
        <v>17</v>
      </c>
      <c r="C7" s="12">
        <v>850</v>
      </c>
      <c r="D7" s="12">
        <f>SUMIFS(inputs!$F$5:$F$95,inputs!$D$5:$D$95,'Dash board'!$B7,inputs!$C$5:$C$95,'Dash board'!D$4)</f>
        <v>1025</v>
      </c>
      <c r="E7" s="12">
        <f>SUMIFS(inputs!$F$5:$F$95,inputs!$D$5:$D$95,'Dash board'!$B7,inputs!$C$5:$C$95,'Dash board'!E$4)</f>
        <v>999</v>
      </c>
      <c r="F7" s="12">
        <f>SUMIFS(inputs!$F$5:$F$95,inputs!$D$5:$D$95,'Dash board'!$B7,inputs!$C$5:$C$95,'Dash board'!F$4)</f>
        <v>1243</v>
      </c>
      <c r="G7" s="12">
        <f>SUMIFS(inputs!$F$5:$F$95,inputs!$D$5:$D$95,'Dash board'!$B7,inputs!$C$5:$C$95,'Dash board'!G$4)</f>
        <v>1450</v>
      </c>
      <c r="H7" s="12">
        <f>SUMIFS(inputs!$F$5:$F$95,inputs!$D$5:$D$95,'Dash board'!$B7,inputs!$C$5:$C$95,'Dash board'!H$4)</f>
        <v>2232</v>
      </c>
      <c r="I7" s="12">
        <f>SUMIFS(inputs!$F$5:$F$95,inputs!$D$5:$D$95,'Dash board'!$B7,inputs!$C$5:$C$95,'Dash board'!I$4)</f>
        <v>2231</v>
      </c>
      <c r="J7" s="12">
        <f>SUMIFS(inputs!$F$5:$F$95,inputs!$D$5:$D$95,'Dash board'!$B7,inputs!$C$5:$C$95,'Dash board'!J$4)</f>
        <v>2300</v>
      </c>
      <c r="K7" s="12">
        <f>SUMIFS(inputs!$F$5:$F$95,inputs!$D$5:$D$95,'Dash board'!$B7,inputs!$C$5:$C$95,'Dash board'!K$4)</f>
        <v>0</v>
      </c>
      <c r="L7" s="12">
        <f>SUMIFS(inputs!$F$5:$F$95,inputs!$D$5:$D$95,'Dash board'!$B7,inputs!$C$5:$C$95,'Dash board'!L$4)</f>
        <v>0</v>
      </c>
      <c r="M7" s="12">
        <f>SUMIFS(inputs!$F$5:$F$95,inputs!$D$5:$D$95,'Dash board'!$B7,inputs!$C$5:$C$95,'Dash board'!M$4)</f>
        <v>0</v>
      </c>
      <c r="N7" s="12">
        <f>SUMIFS(inputs!$F$5:$F$95,inputs!$D$5:$D$95,'Dash board'!$B7,inputs!$C$5:$C$95,'Dash board'!N$4)</f>
        <v>0</v>
      </c>
      <c r="P7" s="12">
        <f t="shared" ref="P7:P9" si="0">SUM(C7:N7)</f>
        <v>12330</v>
      </c>
    </row>
    <row r="8" spans="2:17" ht="15.6" x14ac:dyDescent="0.3">
      <c r="B8" s="2" t="s">
        <v>21</v>
      </c>
      <c r="C8" s="12">
        <v>199</v>
      </c>
      <c r="D8" s="12">
        <f>SUMIFS(inputs!$F$5:$F$95,inputs!$D$5:$D$95,'Dash board'!$B8,inputs!$C$5:$C$95,'Dash board'!D$4)</f>
        <v>228</v>
      </c>
      <c r="E8" s="12">
        <f>SUMIFS(inputs!$F$5:$F$95,inputs!$D$5:$D$95,'Dash board'!$B8,inputs!$C$5:$C$95,'Dash board'!E$4)</f>
        <v>59</v>
      </c>
      <c r="F8" s="12">
        <f>SUMIFS(inputs!$F$5:$F$95,inputs!$D$5:$D$95,'Dash board'!$B8,inputs!$C$5:$C$95,'Dash board'!F$4)</f>
        <v>258</v>
      </c>
      <c r="G8" s="12">
        <f>SUMIFS(inputs!$F$5:$F$95,inputs!$D$5:$D$95,'Dash board'!$B8,inputs!$C$5:$C$95,'Dash board'!G$4)</f>
        <v>1366</v>
      </c>
      <c r="H8" s="12">
        <f>SUMIFS(inputs!$F$5:$F$95,inputs!$D$5:$D$95,'Dash board'!$B8,inputs!$C$5:$C$95,'Dash board'!H$4)</f>
        <v>199</v>
      </c>
      <c r="I8" s="12">
        <f>SUMIFS(inputs!$F$5:$F$95,inputs!$D$5:$D$95,'Dash board'!$B8,inputs!$C$5:$C$95,'Dash board'!I$4)</f>
        <v>59</v>
      </c>
      <c r="J8" s="12">
        <f>SUMIFS(inputs!$F$5:$F$95,inputs!$D$5:$D$95,'Dash board'!$B8,inputs!$C$5:$C$95,'Dash board'!J$4)</f>
        <v>25</v>
      </c>
      <c r="K8" s="12">
        <f>SUMIFS(inputs!$F$5:$F$95,inputs!$D$5:$D$95,'Dash board'!$B8,inputs!$C$5:$C$95,'Dash board'!K$4)</f>
        <v>0</v>
      </c>
      <c r="L8" s="12">
        <f>SUMIFS(inputs!$F$5:$F$95,inputs!$D$5:$D$95,'Dash board'!$B8,inputs!$C$5:$C$95,'Dash board'!L$4)</f>
        <v>0</v>
      </c>
      <c r="M8" s="12">
        <f>SUMIFS(inputs!$F$5:$F$95,inputs!$D$5:$D$95,'Dash board'!$B8,inputs!$C$5:$C$95,'Dash board'!M$4)</f>
        <v>0</v>
      </c>
      <c r="N8" s="12">
        <f>SUMIFS(inputs!$F$5:$F$95,inputs!$D$5:$D$95,'Dash board'!$B8,inputs!$C$5:$C$95,'Dash board'!N$4)</f>
        <v>0</v>
      </c>
      <c r="P8" s="12">
        <f t="shared" si="0"/>
        <v>2393</v>
      </c>
    </row>
    <row r="9" spans="2:17" ht="15.6" x14ac:dyDescent="0.3">
      <c r="B9" s="2" t="s">
        <v>28</v>
      </c>
      <c r="C9" s="12">
        <v>0</v>
      </c>
      <c r="D9" s="12">
        <f>SUMIFS(inputs!$F$5:$F$95,inputs!$D$5:$D$95,'Dash board'!$B9,inputs!$C$5:$C$95,'Dash board'!D$4)</f>
        <v>195</v>
      </c>
      <c r="E9" s="12">
        <f>SUMIFS(inputs!$F$5:$F$95,inputs!$D$5:$D$95,'Dash board'!$B9,inputs!$C$5:$C$95,'Dash board'!E$4)</f>
        <v>299</v>
      </c>
      <c r="F9" s="12">
        <f>SUMIFS(inputs!$F$5:$F$95,inputs!$D$5:$D$95,'Dash board'!$B9,inputs!$C$5:$C$95,'Dash board'!F$4)</f>
        <v>359</v>
      </c>
      <c r="G9" s="12">
        <f>SUMIFS(inputs!$F$5:$F$95,inputs!$D$5:$D$95,'Dash board'!$B9,inputs!$C$5:$C$95,'Dash board'!G$4)</f>
        <v>0</v>
      </c>
      <c r="H9" s="12">
        <f>SUMIFS(inputs!$F$5:$F$95,inputs!$D$5:$D$95,'Dash board'!$B9,inputs!$C$5:$C$95,'Dash board'!H$4)</f>
        <v>250</v>
      </c>
      <c r="I9" s="12">
        <f>SUMIFS(inputs!$F$5:$F$95,inputs!$D$5:$D$95,'Dash board'!$B9,inputs!$C$5:$C$95,'Dash board'!I$4)</f>
        <v>215</v>
      </c>
      <c r="J9" s="12">
        <f>SUMIFS(inputs!$F$5:$F$95,inputs!$D$5:$D$95,'Dash board'!$B9,inputs!$C$5:$C$95,'Dash board'!J$4)</f>
        <v>350</v>
      </c>
      <c r="K9" s="12">
        <f>SUMIFS(inputs!$F$5:$F$95,inputs!$D$5:$D$95,'Dash board'!$B9,inputs!$C$5:$C$95,'Dash board'!K$4)</f>
        <v>0</v>
      </c>
      <c r="L9" s="12">
        <f>SUMIFS(inputs!$F$5:$F$95,inputs!$D$5:$D$95,'Dash board'!$B9,inputs!$C$5:$C$95,'Dash board'!L$4)</f>
        <v>0</v>
      </c>
      <c r="M9" s="12">
        <f>SUMIFS(inputs!$F$5:$F$95,inputs!$D$5:$D$95,'Dash board'!$B9,inputs!$C$5:$C$95,'Dash board'!M$4)</f>
        <v>0</v>
      </c>
      <c r="N9" s="12">
        <f>SUMIFS(inputs!$F$5:$F$95,inputs!$D$5:$D$95,'Dash board'!$B9,inputs!$C$5:$C$95,'Dash board'!N$4)</f>
        <v>0</v>
      </c>
      <c r="P9" s="12">
        <f t="shared" si="0"/>
        <v>1668</v>
      </c>
    </row>
    <row r="10" spans="2:17" ht="15.6" x14ac:dyDescent="0.3">
      <c r="B10" s="8" t="s">
        <v>58</v>
      </c>
      <c r="C10" s="15">
        <f>SUM(C6:C9)</f>
        <v>4549</v>
      </c>
      <c r="D10" s="15">
        <f t="shared" ref="D10:N10" si="1">SUM(D6:D9)</f>
        <v>4948</v>
      </c>
      <c r="E10" s="15">
        <f t="shared" si="1"/>
        <v>4857</v>
      </c>
      <c r="F10" s="15">
        <f t="shared" si="1"/>
        <v>5360</v>
      </c>
      <c r="G10" s="15">
        <f t="shared" si="1"/>
        <v>6316</v>
      </c>
      <c r="H10" s="15">
        <f t="shared" si="1"/>
        <v>6181</v>
      </c>
      <c r="I10" s="15">
        <f t="shared" si="1"/>
        <v>6005</v>
      </c>
      <c r="J10" s="15">
        <f t="shared" si="1"/>
        <v>6175</v>
      </c>
      <c r="K10" s="15">
        <f t="shared" si="1"/>
        <v>0</v>
      </c>
      <c r="L10" s="15">
        <f t="shared" si="1"/>
        <v>0</v>
      </c>
      <c r="M10" s="15">
        <f t="shared" si="1"/>
        <v>0</v>
      </c>
      <c r="N10" s="15">
        <f t="shared" si="1"/>
        <v>0</v>
      </c>
      <c r="P10" s="15">
        <f>SUM(C10:N10)</f>
        <v>44391</v>
      </c>
    </row>
    <row r="11" spans="2:17" ht="15.6" x14ac:dyDescent="0.3">
      <c r="B11" s="11" t="s">
        <v>59</v>
      </c>
      <c r="C11" s="10"/>
      <c r="D11" s="16">
        <f>IF(C10=0,"",D10/C10-1)</f>
        <v>8.7711584963728217E-2</v>
      </c>
      <c r="E11" s="16">
        <f t="shared" ref="E11:N11" si="2">IF(D10=0,"",E10/D10-1)</f>
        <v>-1.8391269199676596E-2</v>
      </c>
      <c r="F11" s="16">
        <f t="shared" si="2"/>
        <v>0.10356186946674906</v>
      </c>
      <c r="G11" s="16">
        <f t="shared" si="2"/>
        <v>0.17835820895522381</v>
      </c>
      <c r="H11" s="16">
        <f t="shared" si="2"/>
        <v>-2.1374287523749258E-2</v>
      </c>
      <c r="I11" s="16">
        <f t="shared" si="2"/>
        <v>-2.8474356900177966E-2</v>
      </c>
      <c r="J11" s="16">
        <f t="shared" si="2"/>
        <v>2.8309741881765271E-2</v>
      </c>
      <c r="K11" s="16"/>
      <c r="L11" s="16" t="str">
        <f t="shared" si="2"/>
        <v/>
      </c>
      <c r="M11" s="16" t="str">
        <f t="shared" si="2"/>
        <v/>
      </c>
      <c r="N11" s="16" t="str">
        <f t="shared" si="2"/>
        <v/>
      </c>
      <c r="P11" s="10"/>
    </row>
    <row r="13" spans="2:17" x14ac:dyDescent="0.3">
      <c r="B13" t="s">
        <v>61</v>
      </c>
    </row>
    <row r="14" spans="2:17" ht="15.6" x14ac:dyDescent="0.3">
      <c r="B14" s="2" t="s">
        <v>5</v>
      </c>
      <c r="C14" s="18">
        <f>SUMIFS([1]Inputs!$F:$F,[1]Inputs!$C:$C,[1]Dashboard!C$4,[1]Inputs!$D:$D,[1]Dashboard!$B14)</f>
        <v>1250</v>
      </c>
      <c r="D14" s="12">
        <f>SUMIFS(inputs!$F$5:$F$95,inputs!$D$5:$D$95,'Dash board'!$B14,inputs!$C$5:$C$95,'Dash board'!D$4)</f>
        <v>1250</v>
      </c>
      <c r="E14" s="12">
        <f>SUMIFS(inputs!$F$5:$F$95,inputs!$D$5:$D$95,'Dash board'!$B14,inputs!$C$5:$C$95,'Dash board'!E$4)</f>
        <v>1250</v>
      </c>
      <c r="F14" s="12">
        <f>SUMIFS(inputs!$F$5:$F$95,inputs!$D$5:$D$95,'Dash board'!$B14,inputs!$C$5:$C$95,'Dash board'!F$4)</f>
        <v>1250</v>
      </c>
      <c r="G14" s="12">
        <f>SUMIFS(inputs!$F$5:$F$95,inputs!$D$5:$D$95,'Dash board'!$B14,inputs!$C$5:$C$95,'Dash board'!G$4)</f>
        <v>1250</v>
      </c>
      <c r="H14" s="12">
        <f>SUMIFS(inputs!$F$5:$F$95,inputs!$D$5:$D$95,'Dash board'!$B14,inputs!$C$5:$C$95,'Dash board'!H$4)</f>
        <v>1250</v>
      </c>
      <c r="I14" s="12">
        <f>SUMIFS(inputs!$F$5:$F$95,inputs!$D$5:$D$95,'Dash board'!$B14,inputs!$C$5:$C$95,'Dash board'!I$4)</f>
        <v>1250</v>
      </c>
      <c r="J14" s="12">
        <f>SUMIFS(inputs!$F$5:$F$95,inputs!$D$5:$D$95,'Dash board'!$B14,inputs!$C$5:$C$95,'Dash board'!J$4)</f>
        <v>1250</v>
      </c>
      <c r="K14" s="12">
        <f>SUMIFS(inputs!$F$5:$F$95,inputs!$D$5:$D$95,'Dash board'!$B14,inputs!$C$5:$C$95,'Dash board'!K$4)</f>
        <v>0</v>
      </c>
      <c r="L14" s="12">
        <f>SUMIFS(inputs!$F$5:$F$95,inputs!$D$5:$D$95,'Dash board'!$B14,inputs!$C$5:$C$95,'Dash board'!L$4)</f>
        <v>0</v>
      </c>
      <c r="M14" s="12">
        <f>SUMIFS(inputs!$F$5:$F$95,inputs!$D$5:$D$95,'Dash board'!$B14,inputs!$C$5:$C$95,'Dash board'!M$4)</f>
        <v>0</v>
      </c>
      <c r="N14" s="12">
        <f>SUMIFS(inputs!$F$5:$F$95,inputs!$D$5:$D$95,'Dash board'!$B14,inputs!$C$5:$C$95,'Dash board'!N$4)</f>
        <v>0</v>
      </c>
      <c r="P14" s="12">
        <f>SUM(C14:N14)</f>
        <v>10000</v>
      </c>
    </row>
    <row r="15" spans="2:17" ht="15.6" x14ac:dyDescent="0.3">
      <c r="B15" s="2" t="s">
        <v>0</v>
      </c>
      <c r="C15" s="18">
        <f>SUMIFS([1]Inputs!$F:$F,[1]Inputs!$C:$C,[1]Dashboard!C$4,[1]Inputs!$D:$D,[1]Dashboard!$B15)</f>
        <v>140</v>
      </c>
      <c r="D15" s="12">
        <f>SUMIFS(inputs!$F$5:$F$95,inputs!$D$5:$D$95,'Dash board'!$B15,inputs!$C$5:$C$95,'Dash board'!D$4)</f>
        <v>105</v>
      </c>
      <c r="E15" s="12">
        <f>SUMIFS(inputs!$F$5:$F$95,inputs!$D$5:$D$95,'Dash board'!$B15,inputs!$C$5:$C$95,'Dash board'!E$4)</f>
        <v>110</v>
      </c>
      <c r="F15" s="12">
        <f>SUMIFS(inputs!$F$5:$F$95,inputs!$D$5:$D$95,'Dash board'!$B15,inputs!$C$5:$C$95,'Dash board'!F$4)</f>
        <v>140</v>
      </c>
      <c r="G15" s="12">
        <f>SUMIFS(inputs!$F$5:$F$95,inputs!$D$5:$D$95,'Dash board'!$B15,inputs!$C$5:$C$95,'Dash board'!G$4)</f>
        <v>152</v>
      </c>
      <c r="H15" s="12">
        <f>SUMIFS(inputs!$F$5:$F$95,inputs!$D$5:$D$95,'Dash board'!$B15,inputs!$C$5:$C$95,'Dash board'!H$4)</f>
        <v>152</v>
      </c>
      <c r="I15" s="12">
        <f>SUMIFS(inputs!$F$5:$F$95,inputs!$D$5:$D$95,'Dash board'!$B15,inputs!$C$5:$C$95,'Dash board'!I$4)</f>
        <v>110</v>
      </c>
      <c r="J15" s="12">
        <f>SUMIFS(inputs!$F$5:$F$95,inputs!$D$5:$D$95,'Dash board'!$B15,inputs!$C$5:$C$95,'Dash board'!J$4)</f>
        <v>110</v>
      </c>
      <c r="K15" s="12">
        <f>SUMIFS(inputs!$F$5:$F$95,inputs!$D$5:$D$95,'Dash board'!$B15,inputs!$C$5:$C$95,'Dash board'!K$4)</f>
        <v>0</v>
      </c>
      <c r="L15" s="12">
        <f>SUMIFS(inputs!$F$5:$F$95,inputs!$D$5:$D$95,'Dash board'!$B15,inputs!$C$5:$C$95,'Dash board'!L$4)</f>
        <v>0</v>
      </c>
      <c r="M15" s="12">
        <f>SUMIFS(inputs!$F$5:$F$95,inputs!$D$5:$D$95,'Dash board'!$B15,inputs!$C$5:$C$95,'Dash board'!M$4)</f>
        <v>0</v>
      </c>
      <c r="N15" s="12">
        <f>SUMIFS(inputs!$F$5:$F$95,inputs!$D$5:$D$95,'Dash board'!$B15,inputs!$C$5:$C$95,'Dash board'!N$4)</f>
        <v>0</v>
      </c>
      <c r="P15" s="12">
        <f t="shared" ref="P15:P20" si="3">SUM(C15:N15)</f>
        <v>1019</v>
      </c>
    </row>
    <row r="16" spans="2:17" ht="15.6" x14ac:dyDescent="0.3">
      <c r="B16" s="2" t="s">
        <v>8</v>
      </c>
      <c r="C16" s="18">
        <f>SUMIFS([1]Inputs!$F:$F,[1]Inputs!$C:$C,[1]Dashboard!C$4,[1]Inputs!$D:$D,[1]Dashboard!$B16)</f>
        <v>52</v>
      </c>
      <c r="D16" s="12">
        <f>SUMIFS(inputs!$F$5:$F$95,inputs!$D$5:$D$95,'Dash board'!$B16,inputs!$C$5:$C$95,'Dash board'!D$4)</f>
        <v>52</v>
      </c>
      <c r="E16" s="12">
        <f>SUMIFS(inputs!$F$5:$F$95,inputs!$D$5:$D$95,'Dash board'!$B16,inputs!$C$5:$C$95,'Dash board'!E$4)</f>
        <v>52</v>
      </c>
      <c r="F16" s="12">
        <f>SUMIFS(inputs!$F$5:$F$95,inputs!$D$5:$D$95,'Dash board'!$B16,inputs!$C$5:$C$95,'Dash board'!F$4)</f>
        <v>52</v>
      </c>
      <c r="G16" s="12">
        <f>SUMIFS(inputs!$F$5:$F$95,inputs!$D$5:$D$95,'Dash board'!$B16,inputs!$C$5:$C$95,'Dash board'!G$4)</f>
        <v>52</v>
      </c>
      <c r="H16" s="12">
        <f>SUMIFS(inputs!$F$5:$F$95,inputs!$D$5:$D$95,'Dash board'!$B16,inputs!$C$5:$C$95,'Dash board'!H$4)</f>
        <v>52</v>
      </c>
      <c r="I16" s="12">
        <f>SUMIFS(inputs!$F$5:$F$95,inputs!$D$5:$D$95,'Dash board'!$B16,inputs!$C$5:$C$95,'Dash board'!I$4)</f>
        <v>45</v>
      </c>
      <c r="J16" s="12">
        <f>SUMIFS(inputs!$F$5:$F$95,inputs!$D$5:$D$95,'Dash board'!$B16,inputs!$C$5:$C$95,'Dash board'!J$4)</f>
        <v>52</v>
      </c>
      <c r="K16" s="12">
        <f>SUMIFS(inputs!$F$5:$F$95,inputs!$D$5:$D$95,'Dash board'!$B16,inputs!$C$5:$C$95,'Dash board'!K$4)</f>
        <v>0</v>
      </c>
      <c r="L16" s="12">
        <f>SUMIFS(inputs!$F$5:$F$95,inputs!$D$5:$D$95,'Dash board'!$B16,inputs!$C$5:$C$95,'Dash board'!L$4)</f>
        <v>0</v>
      </c>
      <c r="M16" s="12">
        <f>SUMIFS(inputs!$F$5:$F$95,inputs!$D$5:$D$95,'Dash board'!$B16,inputs!$C$5:$C$95,'Dash board'!M$4)</f>
        <v>0</v>
      </c>
      <c r="N16" s="12">
        <f>SUMIFS(inputs!$F$5:$F$95,inputs!$D$5:$D$95,'Dash board'!$B16,inputs!$C$5:$C$95,'Dash board'!N$4)</f>
        <v>0</v>
      </c>
      <c r="P16" s="12">
        <f t="shared" si="3"/>
        <v>409</v>
      </c>
    </row>
    <row r="17" spans="2:16" ht="15.6" x14ac:dyDescent="0.3">
      <c r="B17" s="2" t="s">
        <v>1</v>
      </c>
      <c r="C17" s="18">
        <f>SUMIFS([1]Inputs!$F:$F,[1]Inputs!$C:$C,[1]Dashboard!C$4,[1]Inputs!$D:$D,[1]Dashboard!$B17)</f>
        <v>449</v>
      </c>
      <c r="D17" s="12">
        <f>SUMIFS(inputs!$F$5:$F$95,inputs!$D$5:$D$95,'Dash board'!$B17,inputs!$C$5:$C$95,'Dash board'!D$4)</f>
        <v>305</v>
      </c>
      <c r="E17" s="12">
        <f>SUMIFS(inputs!$F$5:$F$95,inputs!$D$5:$D$95,'Dash board'!$B17,inputs!$C$5:$C$95,'Dash board'!E$4)</f>
        <v>208</v>
      </c>
      <c r="F17" s="12">
        <f>SUMIFS(inputs!$F$5:$F$95,inputs!$D$5:$D$95,'Dash board'!$B17,inputs!$C$5:$C$95,'Dash board'!F$4)</f>
        <v>449</v>
      </c>
      <c r="G17" s="12">
        <f>SUMIFS(inputs!$F$5:$F$95,inputs!$D$5:$D$95,'Dash board'!$B17,inputs!$C$5:$C$95,'Dash board'!G$4)</f>
        <v>449</v>
      </c>
      <c r="H17" s="12">
        <f>SUMIFS(inputs!$F$5:$F$95,inputs!$D$5:$D$95,'Dash board'!$B17,inputs!$C$5:$C$95,'Dash board'!H$4)</f>
        <v>560</v>
      </c>
      <c r="I17" s="12">
        <f>SUMIFS(inputs!$F$5:$F$95,inputs!$D$5:$D$95,'Dash board'!$B17,inputs!$C$5:$C$95,'Dash board'!I$4)</f>
        <v>208</v>
      </c>
      <c r="J17" s="12">
        <f>SUMIFS(inputs!$F$5:$F$95,inputs!$D$5:$D$95,'Dash board'!$B17,inputs!$C$5:$C$95,'Dash board'!J$4)</f>
        <v>208</v>
      </c>
      <c r="K17" s="12">
        <f>SUMIFS(inputs!$F$5:$F$95,inputs!$D$5:$D$95,'Dash board'!$B17,inputs!$C$5:$C$95,'Dash board'!K$4)</f>
        <v>0</v>
      </c>
      <c r="L17" s="12">
        <f>SUMIFS(inputs!$F$5:$F$95,inputs!$D$5:$D$95,'Dash board'!$B17,inputs!$C$5:$C$95,'Dash board'!L$4)</f>
        <v>0</v>
      </c>
      <c r="M17" s="12">
        <f>SUMIFS(inputs!$F$5:$F$95,inputs!$D$5:$D$95,'Dash board'!$B17,inputs!$C$5:$C$95,'Dash board'!M$4)</f>
        <v>0</v>
      </c>
      <c r="N17" s="12">
        <f>SUMIFS(inputs!$F$5:$F$95,inputs!$D$5:$D$95,'Dash board'!$B17,inputs!$C$5:$C$95,'Dash board'!N$4)</f>
        <v>0</v>
      </c>
      <c r="P17" s="12">
        <f t="shared" si="3"/>
        <v>2836</v>
      </c>
    </row>
    <row r="18" spans="2:16" ht="15.6" x14ac:dyDescent="0.3">
      <c r="B18" s="2" t="s">
        <v>11</v>
      </c>
      <c r="C18" s="18">
        <f>SUMIFS([1]Inputs!$F:$F,[1]Inputs!$C:$C,[1]Dashboard!C$4,[1]Inputs!$D:$D,[1]Dashboard!$B18)</f>
        <v>562</v>
      </c>
      <c r="D18" s="12">
        <f>SUMIFS(inputs!$F$5:$F$95,inputs!$D$5:$D$95,'Dash board'!$B18,inputs!$C$5:$C$95,'Dash board'!D$4)</f>
        <v>194</v>
      </c>
      <c r="E18" s="12">
        <f>SUMIFS(inputs!$F$5:$F$95,inputs!$D$5:$D$95,'Dash board'!$B18,inputs!$C$5:$C$95,'Dash board'!E$4)</f>
        <v>405</v>
      </c>
      <c r="F18" s="12">
        <f>SUMIFS(inputs!$F$5:$F$95,inputs!$D$5:$D$95,'Dash board'!$B18,inputs!$C$5:$C$95,'Dash board'!F$4)</f>
        <v>462</v>
      </c>
      <c r="G18" s="12">
        <f>SUMIFS(inputs!$F$5:$F$95,inputs!$D$5:$D$95,'Dash board'!$B18,inputs!$C$5:$C$95,'Dash board'!G$4)</f>
        <v>646</v>
      </c>
      <c r="H18" s="12">
        <f>SUMIFS(inputs!$F$5:$F$95,inputs!$D$5:$D$95,'Dash board'!$B18,inputs!$C$5:$C$95,'Dash board'!H$4)</f>
        <v>629</v>
      </c>
      <c r="I18" s="12">
        <f>SUMIFS(inputs!$F$5:$F$95,inputs!$D$5:$D$95,'Dash board'!$B18,inputs!$C$5:$C$95,'Dash board'!I$4)</f>
        <v>294</v>
      </c>
      <c r="J18" s="12">
        <f>SUMIFS(inputs!$F$5:$F$95,inputs!$D$5:$D$95,'Dash board'!$B18,inputs!$C$5:$C$95,'Dash board'!J$4)</f>
        <v>147</v>
      </c>
      <c r="K18" s="12">
        <f>SUMIFS(inputs!$F$5:$F$95,inputs!$D$5:$D$95,'Dash board'!$B18,inputs!$C$5:$C$95,'Dash board'!K$4)</f>
        <v>0</v>
      </c>
      <c r="L18" s="12">
        <f>SUMIFS(inputs!$F$5:$F$95,inputs!$D$5:$D$95,'Dash board'!$B18,inputs!$C$5:$C$95,'Dash board'!L$4)</f>
        <v>0</v>
      </c>
      <c r="M18" s="12">
        <f>SUMIFS(inputs!$F$5:$F$95,inputs!$D$5:$D$95,'Dash board'!$B18,inputs!$C$5:$C$95,'Dash board'!M$4)</f>
        <v>0</v>
      </c>
      <c r="N18" s="12">
        <f>SUMIFS(inputs!$F$5:$F$95,inputs!$D$5:$D$95,'Dash board'!$B18,inputs!$C$5:$C$95,'Dash board'!N$4)</f>
        <v>0</v>
      </c>
      <c r="P18" s="12">
        <f t="shared" si="3"/>
        <v>3339</v>
      </c>
    </row>
    <row r="19" spans="2:16" ht="15.6" x14ac:dyDescent="0.3">
      <c r="B19" s="2" t="s">
        <v>15</v>
      </c>
      <c r="C19" s="18">
        <f>SUMIFS([1]Inputs!$F:$F,[1]Inputs!$C:$C,[1]Dashboard!C$4,[1]Inputs!$D:$D,[1]Dashboard!$B19)</f>
        <v>249</v>
      </c>
      <c r="D19" s="12">
        <f>SUMIFS(inputs!$F$5:$F$95,inputs!$D$5:$D$95,'Dash board'!$B19,inputs!$C$5:$C$95,'Dash board'!D$4)</f>
        <v>18</v>
      </c>
      <c r="E19" s="12">
        <f>SUMIFS(inputs!$F$5:$F$95,inputs!$D$5:$D$95,'Dash board'!$B19,inputs!$C$5:$C$95,'Dash board'!E$4)</f>
        <v>199</v>
      </c>
      <c r="F19" s="12">
        <f>SUMIFS(inputs!$F$5:$F$95,inputs!$D$5:$D$95,'Dash board'!$B19,inputs!$C$5:$C$95,'Dash board'!F$4)</f>
        <v>249</v>
      </c>
      <c r="G19" s="12">
        <f>SUMIFS(inputs!$F$5:$F$95,inputs!$D$5:$D$95,'Dash board'!$B19,inputs!$C$5:$C$95,'Dash board'!G$4)</f>
        <v>249</v>
      </c>
      <c r="H19" s="12">
        <f>SUMIFS(inputs!$F$5:$F$95,inputs!$D$5:$D$95,'Dash board'!$B19,inputs!$C$5:$C$95,'Dash board'!H$4)</f>
        <v>0</v>
      </c>
      <c r="I19" s="12">
        <f>SUMIFS(inputs!$F$5:$F$95,inputs!$D$5:$D$95,'Dash board'!$B19,inputs!$C$5:$C$95,'Dash board'!I$4)</f>
        <v>399</v>
      </c>
      <c r="J19" s="12">
        <f>SUMIFS(inputs!$F$5:$F$95,inputs!$D$5:$D$95,'Dash board'!$B19,inputs!$C$5:$C$95,'Dash board'!J$4)</f>
        <v>149</v>
      </c>
      <c r="K19" s="12">
        <f>SUMIFS(inputs!$F$5:$F$95,inputs!$D$5:$D$95,'Dash board'!$B19,inputs!$C$5:$C$95,'Dash board'!K$4)</f>
        <v>0</v>
      </c>
      <c r="L19" s="12">
        <f>SUMIFS(inputs!$F$5:$F$95,inputs!$D$5:$D$95,'Dash board'!$B19,inputs!$C$5:$C$95,'Dash board'!L$4)</f>
        <v>0</v>
      </c>
      <c r="M19" s="12">
        <f>SUMIFS(inputs!$F$5:$F$95,inputs!$D$5:$D$95,'Dash board'!$B19,inputs!$C$5:$C$95,'Dash board'!M$4)</f>
        <v>0</v>
      </c>
      <c r="N19" s="12">
        <f>SUMIFS(inputs!$F$5:$F$95,inputs!$D$5:$D$95,'Dash board'!$B19,inputs!$C$5:$C$95,'Dash board'!N$4)</f>
        <v>0</v>
      </c>
      <c r="P19" s="12">
        <f t="shared" si="3"/>
        <v>1512</v>
      </c>
    </row>
    <row r="20" spans="2:16" x14ac:dyDescent="0.3">
      <c r="B20" s="9" t="s">
        <v>62</v>
      </c>
      <c r="C20" s="15">
        <f>SUM(C14:C19)</f>
        <v>2702</v>
      </c>
      <c r="D20" s="15">
        <f t="shared" ref="D20:N20" si="4">SUM(D14:D19)</f>
        <v>1924</v>
      </c>
      <c r="E20" s="15">
        <f t="shared" si="4"/>
        <v>2224</v>
      </c>
      <c r="F20" s="15">
        <f t="shared" si="4"/>
        <v>2602</v>
      </c>
      <c r="G20" s="15">
        <f t="shared" si="4"/>
        <v>2798</v>
      </c>
      <c r="H20" s="15">
        <f t="shared" si="4"/>
        <v>2643</v>
      </c>
      <c r="I20" s="15">
        <f t="shared" si="4"/>
        <v>2306</v>
      </c>
      <c r="J20" s="15">
        <f t="shared" si="4"/>
        <v>1916</v>
      </c>
      <c r="K20" s="15">
        <f t="shared" si="4"/>
        <v>0</v>
      </c>
      <c r="L20" s="15">
        <f t="shared" si="4"/>
        <v>0</v>
      </c>
      <c r="M20" s="15">
        <f t="shared" si="4"/>
        <v>0</v>
      </c>
      <c r="N20" s="15">
        <f t="shared" si="4"/>
        <v>0</v>
      </c>
      <c r="P20" s="15">
        <f>SUM(C20:N20)</f>
        <v>19115</v>
      </c>
    </row>
    <row r="21" spans="2:16" x14ac:dyDescent="0.3">
      <c r="B21" s="17" t="s">
        <v>63</v>
      </c>
      <c r="C21" s="10"/>
      <c r="D21" s="16">
        <f t="shared" ref="D21:N21" si="5">IF(C20=0,"",D20/C20-1)</f>
        <v>-0.28793486306439675</v>
      </c>
      <c r="E21" s="16">
        <f t="shared" si="5"/>
        <v>0.15592515592515599</v>
      </c>
      <c r="F21" s="16">
        <f t="shared" si="5"/>
        <v>0.16996402877697836</v>
      </c>
      <c r="G21" s="16">
        <f t="shared" si="5"/>
        <v>7.532667179093E-2</v>
      </c>
      <c r="H21" s="16">
        <f t="shared" si="5"/>
        <v>-5.5396711937097942E-2</v>
      </c>
      <c r="I21" s="16">
        <f t="shared" si="5"/>
        <v>-0.12750662126371548</v>
      </c>
      <c r="J21" s="16">
        <f t="shared" si="5"/>
        <v>-0.16912402428447526</v>
      </c>
      <c r="K21" s="16"/>
      <c r="L21" s="16" t="str">
        <f t="shared" si="5"/>
        <v/>
      </c>
      <c r="M21" s="16" t="str">
        <f t="shared" si="5"/>
        <v/>
      </c>
      <c r="N21" s="16" t="str">
        <f t="shared" si="5"/>
        <v/>
      </c>
      <c r="P21" s="10"/>
    </row>
    <row r="23" spans="2:16" x14ac:dyDescent="0.3">
      <c r="B23" s="19" t="s">
        <v>64</v>
      </c>
      <c r="C23" s="20">
        <f>C10-C20</f>
        <v>1847</v>
      </c>
      <c r="D23" s="20">
        <f t="shared" ref="D23:N23" si="6">D10-D20</f>
        <v>3024</v>
      </c>
      <c r="E23" s="20">
        <f t="shared" si="6"/>
        <v>2633</v>
      </c>
      <c r="F23" s="20">
        <f t="shared" si="6"/>
        <v>2758</v>
      </c>
      <c r="G23" s="20">
        <f t="shared" si="6"/>
        <v>3518</v>
      </c>
      <c r="H23" s="20">
        <f t="shared" si="6"/>
        <v>3538</v>
      </c>
      <c r="I23" s="20">
        <f t="shared" si="6"/>
        <v>3699</v>
      </c>
      <c r="J23" s="20">
        <f t="shared" si="6"/>
        <v>4259</v>
      </c>
      <c r="K23" s="20">
        <f t="shared" si="6"/>
        <v>0</v>
      </c>
      <c r="L23" s="20">
        <f t="shared" si="6"/>
        <v>0</v>
      </c>
      <c r="M23" s="20">
        <f t="shared" si="6"/>
        <v>0</v>
      </c>
      <c r="N23" s="20">
        <f t="shared" si="6"/>
        <v>0</v>
      </c>
    </row>
    <row r="24" spans="2:16" x14ac:dyDescent="0.3">
      <c r="B24" s="19"/>
      <c r="C24" s="19"/>
      <c r="D24" s="21">
        <f t="shared" ref="D24" si="7">IF(C23=0,"",D23/C23-1)</f>
        <v>0.63724959393611269</v>
      </c>
      <c r="E24" s="21">
        <f t="shared" ref="E24" si="8">IF(D23=0,"",E23/D23-1)</f>
        <v>-0.12929894179894175</v>
      </c>
      <c r="F24" s="21">
        <f t="shared" ref="F24" si="9">IF(E23=0,"",F23/E23-1)</f>
        <v>4.7474363843524436E-2</v>
      </c>
      <c r="G24" s="21">
        <f t="shared" ref="G24" si="10">IF(F23=0,"",G23/F23-1)</f>
        <v>0.27556200145032639</v>
      </c>
      <c r="H24" s="21">
        <f t="shared" ref="H24" si="11">IF(G23=0,"",H23/G23-1)</f>
        <v>5.685048322910724E-3</v>
      </c>
      <c r="I24" s="21">
        <f t="shared" ref="I24" si="12">IF(H23=0,"",I23/H23-1)</f>
        <v>4.5505935556811705E-2</v>
      </c>
      <c r="J24" s="21">
        <f t="shared" ref="J24" si="13">IF(I23=0,"",J23/I23-1)</f>
        <v>0.15139226818058926</v>
      </c>
      <c r="K24" s="21"/>
      <c r="L24" s="21"/>
      <c r="M24" s="21"/>
      <c r="N24" s="21"/>
    </row>
    <row r="29" spans="2:16" x14ac:dyDescent="0.3">
      <c r="C29" s="22" t="s">
        <v>66</v>
      </c>
      <c r="K29" s="22" t="s">
        <v>65</v>
      </c>
    </row>
  </sheetData>
  <mergeCells count="1">
    <mergeCell ref="B2:D2"/>
  </mergeCells>
  <phoneticPr fontId="22" type="noConversion"/>
  <conditionalFormatting sqref="D11:K11">
    <cfRule type="cellIs" dxfId="5" priority="24" operator="lessThan">
      <formula>0</formula>
    </cfRule>
    <cfRule type="cellIs" dxfId="4" priority="23" operator="greaterThan">
      <formula>0</formula>
    </cfRule>
  </conditionalFormatting>
  <conditionalFormatting sqref="D21:K2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D24:J24">
    <cfRule type="cellIs" dxfId="0" priority="2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Dash 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Manas Orpe</dc:creator>
  <cp:lastModifiedBy>Manas Orpe</cp:lastModifiedBy>
  <dcterms:created xsi:type="dcterms:W3CDTF">2024-06-07T17:28:19Z</dcterms:created>
  <dcterms:modified xsi:type="dcterms:W3CDTF">2024-06-08T15:45:52Z</dcterms:modified>
</cp:coreProperties>
</file>